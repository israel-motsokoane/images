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6"/>
  <workbookPr codeName="ThisWorkbook"/>
  <mc:AlternateContent xmlns:mc="http://schemas.openxmlformats.org/markup-compatibility/2006">
    <mc:Choice Requires="x15">
      <x15ac:absPath xmlns:x15ac="http://schemas.microsoft.com/office/spreadsheetml/2010/11/ac" url="C:\Users\User\Downloads\"/>
    </mc:Choice>
  </mc:AlternateContent>
  <xr:revisionPtr revIDLastSave="0" documentId="8_{7319E673-5BDA-4EE9-AD0C-3B07A49B8E7C}" xr6:coauthVersionLast="47" xr6:coauthVersionMax="47" xr10:uidLastSave="{00000000-0000-0000-0000-000000000000}"/>
  <bookViews>
    <workbookView xWindow="-110" yWindow="-110" windowWidth="19420" windowHeight="1030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1" l="1"/>
  <c r="Q1" i="11"/>
  <c r="H7" i="11"/>
  <c r="E10" i="11" l="1"/>
  <c r="E9" i="11"/>
  <c r="F10" i="11" s="1"/>
  <c r="E11" i="11" s="1"/>
  <c r="F11" i="11" s="1"/>
  <c r="E13" i="11" s="1"/>
  <c r="F13" i="11" l="1"/>
  <c r="E14" i="11"/>
  <c r="I5" i="11"/>
  <c r="H40" i="11"/>
  <c r="H39" i="11"/>
  <c r="H25" i="11"/>
  <c r="H18" i="11"/>
  <c r="H12" i="11"/>
  <c r="H8" i="11"/>
  <c r="F14" i="11" l="1"/>
  <c r="E15" i="11"/>
  <c r="F15" i="11" s="1"/>
  <c r="I6" i="11"/>
  <c r="J5" i="11" l="1"/>
  <c r="K5" i="11" s="1"/>
  <c r="L5" i="11" s="1"/>
  <c r="M5" i="11" s="1"/>
  <c r="N5" i="11" s="1"/>
  <c r="O5" i="11" s="1"/>
  <c r="P5" i="11" s="1"/>
  <c r="I4" i="11"/>
  <c r="P4" i="11" l="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F9" i="11"/>
  <c r="H9" i="11" s="1"/>
  <c r="H10" i="11"/>
  <c r="H13" i="11" l="1"/>
  <c r="H11" i="11"/>
  <c r="H14" i="11" l="1"/>
  <c r="E16" i="11" l="1"/>
  <c r="F16" i="11" s="1"/>
  <c r="H15" i="11"/>
  <c r="E19" i="11" l="1"/>
  <c r="H16" i="11"/>
  <c r="E20" i="11" l="1"/>
  <c r="F19" i="11"/>
  <c r="H19" i="11" s="1"/>
  <c r="H17" i="11"/>
  <c r="F20" i="11" l="1"/>
  <c r="E21" i="11"/>
  <c r="F21" i="11" l="1"/>
  <c r="E22" i="11"/>
  <c r="E26" i="11"/>
  <c r="H20" i="11"/>
  <c r="E23" i="11" l="1"/>
  <c r="F22" i="11"/>
  <c r="H22" i="11" s="1"/>
  <c r="F26" i="11"/>
  <c r="E27" i="11"/>
  <c r="H26" i="11"/>
  <c r="H21" i="11"/>
  <c r="E24" i="11" l="1"/>
  <c r="F23" i="11"/>
  <c r="E28" i="11"/>
  <c r="F27" i="11"/>
  <c r="H27" i="11" s="1"/>
  <c r="F24" i="11" l="1"/>
  <c r="H24" i="11" s="1"/>
  <c r="H28" i="11"/>
  <c r="F28" i="11"/>
  <c r="E29" i="11"/>
  <c r="F29" i="11" l="1"/>
  <c r="H29" i="11" s="1"/>
  <c r="E30" i="11"/>
  <c r="F30" i="11" l="1"/>
  <c r="H30" i="11" s="1"/>
  <c r="E31" i="11"/>
  <c r="F31" i="11" s="1"/>
  <c r="E33" i="11" s="1"/>
  <c r="E34" i="11" l="1"/>
  <c r="F33" i="11"/>
  <c r="E35" i="11" l="1"/>
  <c r="F34" i="11"/>
  <c r="E36" i="11" l="1"/>
  <c r="F35" i="11"/>
  <c r="F36" i="11" l="1"/>
  <c r="E37" i="11"/>
  <c r="F37" i="11" l="1"/>
  <c r="E38" i="11"/>
  <c r="F38" i="11" s="1"/>
</calcChain>
</file>

<file path=xl/sharedStrings.xml><?xml version="1.0" encoding="utf-8"?>
<sst xmlns="http://schemas.openxmlformats.org/spreadsheetml/2006/main" count="83" uniqueCount="68">
  <si>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</si>
  <si>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</si>
  <si>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</si>
  <si>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</si>
  <si>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</si>
  <si>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</si>
  <si>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</si>
  <si>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</si>
  <si>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</si>
  <si>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</si>
  <si>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</si>
  <si>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</si>
  <si>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</si>
  <si>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</si>
  <si>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</si>
  <si>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</si>
  <si>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</si>
  <si>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</si>
  <si>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</si>
  <si>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</si>
  <si>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</si>
  <si>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Project start:</t>
  </si>
  <si>
    <t>Display week:</t>
  </si>
  <si>
    <t>ASSIGNED TO</t>
  </si>
  <si>
    <t>Planning Phase (D00)</t>
  </si>
  <si>
    <t>Group Formation &amp; Idea Discussion</t>
  </si>
  <si>
    <t>SN Mbhalati, Magubane SX, Motsokoane MI and TC Shongwe</t>
  </si>
  <si>
    <t>Group Registration</t>
  </si>
  <si>
    <t>SN Mbhalati</t>
  </si>
  <si>
    <t>Project Proposal Development</t>
  </si>
  <si>
    <t>Analysis Phase (D01)</t>
  </si>
  <si>
    <t>Feasability and Risk Study</t>
  </si>
  <si>
    <t>Use Case Identification</t>
  </si>
  <si>
    <t>Problem Statement &amp; Proposed Solution</t>
  </si>
  <si>
    <t>Requirements Gathering &amp; Analysis</t>
  </si>
  <si>
    <t>Magubane SX</t>
  </si>
  <si>
    <t>Motsokoane MI</t>
  </si>
  <si>
    <t>TC Shongwe</t>
  </si>
  <si>
    <t>Design Phase (D02)</t>
  </si>
  <si>
    <t>Use Case Descriptions</t>
  </si>
  <si>
    <t>Activity Diagram Development</t>
  </si>
  <si>
    <t>Functional &amp; Non-Functional Requirement Updates</t>
  </si>
  <si>
    <t>Use Case Diagram Corrections</t>
  </si>
  <si>
    <t>MVP &amp; Core Feature Refinement</t>
  </si>
  <si>
    <t>Iterative Prototype Development</t>
  </si>
  <si>
    <t>SN Mbhalati, Motsokoane MI and TC Shongwe</t>
  </si>
  <si>
    <t>Motsokoane MI and TC Shongwe</t>
  </si>
  <si>
    <t>SN Mbhalati, Magubane SX and TC Shongwe</t>
  </si>
  <si>
    <t>System Design Phase (D03)</t>
  </si>
  <si>
    <t>Updates Required</t>
  </si>
  <si>
    <t>Database Design</t>
  </si>
  <si>
    <t>Class Diagram Development</t>
  </si>
  <si>
    <t>Interaction Sequence Diagrams</t>
  </si>
  <si>
    <t>Authentication MVP Database Integration</t>
  </si>
  <si>
    <t>Prototype Improvement</t>
  </si>
  <si>
    <t>Magubane SX and Motsokoane MI</t>
  </si>
  <si>
    <t>Architecture &amp; Validation Phase (D04)</t>
  </si>
  <si>
    <t>Component &amp; Deployment Diagram</t>
  </si>
  <si>
    <t>Gantt Chart  Development</t>
  </si>
  <si>
    <t>Activity &amp; Sequence Diagram Refinement</t>
  </si>
  <si>
    <t>Crime Hotspot MVP Integration</t>
  </si>
  <si>
    <t>Alpha Prototype Preparation</t>
  </si>
  <si>
    <t>Magubane SX and Motsokoane M</t>
  </si>
  <si>
    <t>SN Mbhalati and TC Shongwe</t>
  </si>
  <si>
    <t>Magubane SX, Motsokoane MI and TC Shongwe</t>
  </si>
  <si>
    <t>SafeRoute Logistics: An Intelligent Fleet</t>
  </si>
  <si>
    <t>System</t>
  </si>
  <si>
    <t>Milestone: Deciding on the project topic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</si>
</sst>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5"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sz val="11"/>
      <color rgb="FF1D2129"/>
      <name val="Arial"/>
      <family val="2"/>
      <scheme val="minor"/>
    </font>
    <font>
      <u/>
      <sz val="11"/>
      <color indexed="12"/>
      <name val="Arial"/>
      <family val="2"/>
      <scheme val="minor"/>
    </font>
    <font>
      <b/>
      <sz val="18"/>
      <color theme="9"/>
      <name val="Arial Black"/>
      <family val="2"/>
      <scheme val="major"/>
    </font>
    <font>
      <b/>
      <sz val="18"/>
      <color theme="4" tint="-0.249977111117893"/>
      <name val="Arial"/>
      <family val="2"/>
    </font>
    <font>
      <sz val="18"/>
      <name val="Arial"/>
      <family val="2"/>
    </font>
    <font>
      <b/>
      <sz val="20"/>
      <color theme="9"/>
      <name val="Arial Black"/>
      <family val="2"/>
      <scheme val="major"/>
    </font>
  </fonts>
  <fills count="14">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
      <patternFill patternType="solid">
        <fgColor theme="8" tint="0.399975585192419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3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6" fillId="0" borderId="0" xfId="0" applyFont="1"/>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xf numFmtId="0" fontId="19" fillId="10" borderId="0" xfId="12" applyFont="1" applyFill="1" applyBorder="1">
      <alignment horizontal="left" vertical="center" indent="2"/>
    </xf>
    <xf numFmtId="0" fontId="19" fillId="10" borderId="0" xfId="11" applyFont="1" applyFill="1" applyBorder="1" applyAlignment="1">
      <alignment vertical="center"/>
    </xf>
    <xf numFmtId="9" fontId="1" fillId="10" borderId="0" xfId="2" applyFont="1" applyFill="1" applyBorder="1" applyAlignment="1">
      <alignment horizontal="center" vertical="center"/>
    </xf>
    <xf numFmtId="164" fontId="19" fillId="10" borderId="0" xfId="10" applyFont="1" applyFill="1" applyBorder="1">
      <alignment horizontal="center" vertical="center"/>
    </xf>
    <xf numFmtId="0" fontId="23" fillId="4" borderId="5" xfId="12" applyFont="1" applyFill="1" applyBorder="1">
      <alignment horizontal="left" vertical="center" indent="2"/>
    </xf>
    <xf numFmtId="0" fontId="23" fillId="13" borderId="0" xfId="12" applyFont="1" applyFill="1" applyBorder="1">
      <alignment horizontal="left" vertical="center" indent="2"/>
    </xf>
    <xf numFmtId="0" fontId="19" fillId="13" borderId="0" xfId="11" applyFont="1" applyFill="1" applyBorder="1" applyAlignment="1">
      <alignment vertical="center"/>
    </xf>
    <xf numFmtId="9" fontId="1" fillId="13" borderId="0" xfId="2" applyFont="1" applyFill="1" applyBorder="1" applyAlignment="1">
      <alignment horizontal="center" vertical="center"/>
    </xf>
    <xf numFmtId="164" fontId="19" fillId="13" borderId="0" xfId="10" applyFont="1" applyFill="1" applyBorder="1">
      <alignment horizontal="center" vertical="center"/>
    </xf>
    <xf numFmtId="0" fontId="31" fillId="0" borderId="0" xfId="5" applyFont="1" applyAlignment="1">
      <alignment horizontal="left"/>
    </xf>
    <xf numFmtId="0" fontId="32" fillId="0" borderId="0" xfId="0" applyFont="1"/>
    <xf numFmtId="0" fontId="33" fillId="0" borderId="0" xfId="0" applyFont="1"/>
    <xf numFmtId="0" fontId="33" fillId="0" borderId="0" xfId="0" applyFont="1" applyAlignment="1">
      <alignment horizontal="center"/>
    </xf>
    <xf numFmtId="0" fontId="33" fillId="0" borderId="0" xfId="0" applyFont="1" applyAlignment="1">
      <alignment horizontal="center" vertical="center"/>
    </xf>
    <xf numFmtId="0" fontId="34" fillId="0" borderId="0" xfId="5" applyFont="1" applyAlignment="1">
      <alignment horizontal="left"/>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27">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fill>
        <patternFill>
          <bgColor theme="8"/>
        </patternFill>
      </fill>
      <border>
        <left/>
        <right/>
      </border>
    </dxf>
    <dxf>
      <fill>
        <patternFill>
          <bgColor theme="8" tint="0.39994506668294322"/>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26"/>
      <tableStyleElement type="headerRow" dxfId="25"/>
      <tableStyleElement type="totalRow" dxfId="24"/>
      <tableStyleElement type="firstColumn" dxfId="23"/>
      <tableStyleElement type="lastColumn" dxfId="22"/>
      <tableStyleElement type="firstRowStripe" dxfId="21"/>
      <tableStyleElement type="secondRowStripe" dxfId="20"/>
      <tableStyleElement type="firstColumnStripe" dxfId="19"/>
      <tableStyleElement type="secondColumn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xdr:from>
      <xdr:col>46</xdr:col>
      <xdr:colOff>2</xdr:colOff>
      <xdr:row>16</xdr:row>
      <xdr:rowOff>78153</xdr:rowOff>
    </xdr:from>
    <xdr:to>
      <xdr:col>47</xdr:col>
      <xdr:colOff>29308</xdr:colOff>
      <xdr:row>16</xdr:row>
      <xdr:rowOff>332154</xdr:rowOff>
    </xdr:to>
    <xdr:sp macro="" textlink="">
      <xdr:nvSpPr>
        <xdr:cNvPr id="3" name="Diamond 2">
          <a:extLst>
            <a:ext uri="{FF2B5EF4-FFF2-40B4-BE49-F238E27FC236}">
              <a16:creationId xmlns:a16="http://schemas.microsoft.com/office/drawing/2014/main" id="{606AE296-63D0-5523-D2C5-3D260CBD2891}"/>
            </a:ext>
          </a:extLst>
        </xdr:cNvPr>
        <xdr:cNvSpPr/>
      </xdr:nvSpPr>
      <xdr:spPr>
        <a:xfrm>
          <a:off x="13637848" y="6183922"/>
          <a:ext cx="234460" cy="254001"/>
        </a:xfrm>
        <a:prstGeom prst="diamond">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3"/>
  <sheetViews>
    <sheetView showGridLines="0" tabSelected="1" showRuler="0" zoomScale="65" zoomScaleNormal="100" zoomScalePageLayoutView="70" workbookViewId="0">
      <selection activeCell="O16" sqref="O16"/>
    </sheetView>
  </sheetViews>
  <sheetFormatPr defaultColWidth="8.6640625" defaultRowHeight="30" customHeight="1" x14ac:dyDescent="0.3"/>
  <cols>
    <col min="1" max="1" width="2.6640625" style="13" customWidth="1"/>
    <col min="2" max="2" width="22.6640625" customWidth="1"/>
    <col min="3" max="3" width="16.6640625" customWidth="1"/>
    <col min="4" max="4" width="10.6640625" customWidth="1"/>
    <col min="5" max="5" width="10.6640625" style="2" customWidth="1"/>
    <col min="6" max="6" width="10.6640625" customWidth="1"/>
    <col min="7" max="7" width="2.6640625" customWidth="1"/>
    <col min="8" max="8" width="6" hidden="1" customWidth="1"/>
    <col min="9" max="63" width="2.6640625" customWidth="1"/>
    <col min="64" max="64" width="2" customWidth="1"/>
    <col min="65" max="65" width="3.9140625" customWidth="1"/>
    <col min="66" max="67" width="2.6640625" customWidth="1"/>
    <col min="68" max="68" width="2.5" customWidth="1"/>
  </cols>
  <sheetData>
    <row r="1" spans="1:64" ht="90" customHeight="1" x14ac:dyDescent="0.8">
      <c r="A1" s="14"/>
      <c r="B1" s="124" t="s">
        <v>65</v>
      </c>
      <c r="C1" s="125"/>
      <c r="D1" s="126"/>
      <c r="E1" s="127"/>
      <c r="F1" s="128"/>
      <c r="H1" s="1"/>
      <c r="I1" s="110" t="s">
        <v>21</v>
      </c>
      <c r="J1" s="111"/>
      <c r="K1" s="111"/>
      <c r="L1" s="111"/>
      <c r="M1" s="111"/>
      <c r="N1" s="111"/>
      <c r="O1" s="111"/>
      <c r="P1" s="22"/>
      <c r="Q1" s="109">
        <f>DATE(2026,2,9)</f>
        <v>46062</v>
      </c>
      <c r="R1" s="108"/>
      <c r="S1" s="108"/>
      <c r="T1" s="108"/>
      <c r="U1" s="108"/>
      <c r="V1" s="108"/>
      <c r="W1" s="108"/>
      <c r="X1" s="108"/>
      <c r="Y1" s="108"/>
      <c r="Z1" s="108"/>
    </row>
    <row r="2" spans="1:64" ht="30" customHeight="1" x14ac:dyDescent="0.85">
      <c r="B2" s="129" t="s">
        <v>66</v>
      </c>
      <c r="C2" s="18"/>
      <c r="D2" s="19"/>
      <c r="E2" s="20"/>
      <c r="F2" s="21"/>
      <c r="I2" s="110" t="s">
        <v>22</v>
      </c>
      <c r="J2" s="111"/>
      <c r="K2" s="111"/>
      <c r="L2" s="111"/>
      <c r="M2" s="111"/>
      <c r="N2" s="111"/>
      <c r="O2" s="111"/>
      <c r="P2" s="22"/>
      <c r="Q2" s="107">
        <v>1</v>
      </c>
      <c r="R2" s="108"/>
      <c r="S2" s="108"/>
      <c r="T2" s="108"/>
      <c r="U2" s="108"/>
      <c r="V2" s="108"/>
      <c r="W2" s="108"/>
      <c r="X2" s="108"/>
      <c r="Y2" s="108"/>
      <c r="Z2" s="108"/>
    </row>
    <row r="3" spans="1:64" s="24" customFormat="1" ht="30" customHeight="1" x14ac:dyDescent="0.3">
      <c r="A3" s="13"/>
      <c r="B3" s="23" t="s">
        <v>8</v>
      </c>
      <c r="D3" s="25"/>
      <c r="E3" s="26"/>
    </row>
    <row r="4" spans="1:64" s="24" customFormat="1" ht="30" customHeight="1" x14ac:dyDescent="0.3">
      <c r="A4" s="14"/>
      <c r="B4" s="27" t="s">
        <v>13</v>
      </c>
      <c r="E4" s="28"/>
      <c r="I4" s="114">
        <f>I5</f>
        <v>46062</v>
      </c>
      <c r="J4" s="112"/>
      <c r="K4" s="112"/>
      <c r="L4" s="112"/>
      <c r="M4" s="112"/>
      <c r="N4" s="112"/>
      <c r="O4" s="112"/>
      <c r="P4" s="112">
        <f>P5</f>
        <v>46069</v>
      </c>
      <c r="Q4" s="112"/>
      <c r="R4" s="112"/>
      <c r="S4" s="112"/>
      <c r="T4" s="112"/>
      <c r="U4" s="112"/>
      <c r="V4" s="112"/>
      <c r="W4" s="112">
        <f>W5</f>
        <v>46076</v>
      </c>
      <c r="X4" s="112"/>
      <c r="Y4" s="112"/>
      <c r="Z4" s="112"/>
      <c r="AA4" s="112"/>
      <c r="AB4" s="112"/>
      <c r="AC4" s="112"/>
      <c r="AD4" s="112">
        <f>AD5</f>
        <v>46083</v>
      </c>
      <c r="AE4" s="112"/>
      <c r="AF4" s="112"/>
      <c r="AG4" s="112"/>
      <c r="AH4" s="112"/>
      <c r="AI4" s="112"/>
      <c r="AJ4" s="112"/>
      <c r="AK4" s="112">
        <f>AK5</f>
        <v>46090</v>
      </c>
      <c r="AL4" s="112"/>
      <c r="AM4" s="112"/>
      <c r="AN4" s="112"/>
      <c r="AO4" s="112"/>
      <c r="AP4" s="112"/>
      <c r="AQ4" s="112"/>
      <c r="AR4" s="112">
        <f>AR5</f>
        <v>46097</v>
      </c>
      <c r="AS4" s="112"/>
      <c r="AT4" s="112"/>
      <c r="AU4" s="112"/>
      <c r="AV4" s="112"/>
      <c r="AW4" s="112"/>
      <c r="AX4" s="112"/>
      <c r="AY4" s="112">
        <f>AY5</f>
        <v>46104</v>
      </c>
      <c r="AZ4" s="112"/>
      <c r="BA4" s="112"/>
      <c r="BB4" s="112"/>
      <c r="BC4" s="112"/>
      <c r="BD4" s="112"/>
      <c r="BE4" s="112"/>
      <c r="BF4" s="112">
        <f>BF5</f>
        <v>46111</v>
      </c>
      <c r="BG4" s="112"/>
      <c r="BH4" s="112"/>
      <c r="BI4" s="112"/>
      <c r="BJ4" s="112"/>
      <c r="BK4" s="112"/>
      <c r="BL4" s="113"/>
    </row>
    <row r="5" spans="1:64" s="24" customFormat="1" ht="15" customHeight="1" x14ac:dyDescent="0.3">
      <c r="A5" s="101"/>
      <c r="B5" s="102" t="s">
        <v>5</v>
      </c>
      <c r="C5" s="104" t="s">
        <v>23</v>
      </c>
      <c r="D5" s="106" t="s">
        <v>1</v>
      </c>
      <c r="E5" s="106" t="s">
        <v>3</v>
      </c>
      <c r="F5" s="106" t="s">
        <v>4</v>
      </c>
      <c r="I5" s="29">
        <f>Project_Start-WEEKDAY(Project_Start,1)+2+7*(Display_Week-1)</f>
        <v>46062</v>
      </c>
      <c r="J5" s="29">
        <f>I5+1</f>
        <v>46063</v>
      </c>
      <c r="K5" s="29">
        <f t="shared" ref="K5:AX5" si="0">J5+1</f>
        <v>46064</v>
      </c>
      <c r="L5" s="29">
        <f t="shared" si="0"/>
        <v>46065</v>
      </c>
      <c r="M5" s="29">
        <f t="shared" si="0"/>
        <v>46066</v>
      </c>
      <c r="N5" s="29">
        <f t="shared" si="0"/>
        <v>46067</v>
      </c>
      <c r="O5" s="30">
        <f t="shared" si="0"/>
        <v>46068</v>
      </c>
      <c r="P5" s="31">
        <f>O5+1</f>
        <v>46069</v>
      </c>
      <c r="Q5" s="29">
        <f>P5+1</f>
        <v>46070</v>
      </c>
      <c r="R5" s="29">
        <f t="shared" si="0"/>
        <v>46071</v>
      </c>
      <c r="S5" s="29">
        <f t="shared" si="0"/>
        <v>46072</v>
      </c>
      <c r="T5" s="29">
        <f t="shared" si="0"/>
        <v>46073</v>
      </c>
      <c r="U5" s="29">
        <f t="shared" si="0"/>
        <v>46074</v>
      </c>
      <c r="V5" s="30">
        <f t="shared" si="0"/>
        <v>46075</v>
      </c>
      <c r="W5" s="31">
        <f>V5+1</f>
        <v>46076</v>
      </c>
      <c r="X5" s="29">
        <f>W5+1</f>
        <v>46077</v>
      </c>
      <c r="Y5" s="29">
        <f t="shared" si="0"/>
        <v>46078</v>
      </c>
      <c r="Z5" s="29">
        <f t="shared" si="0"/>
        <v>46079</v>
      </c>
      <c r="AA5" s="29">
        <f t="shared" si="0"/>
        <v>46080</v>
      </c>
      <c r="AB5" s="29">
        <f t="shared" si="0"/>
        <v>46081</v>
      </c>
      <c r="AC5" s="30">
        <f t="shared" si="0"/>
        <v>46082</v>
      </c>
      <c r="AD5" s="31">
        <f>AC5+1</f>
        <v>46083</v>
      </c>
      <c r="AE5" s="29">
        <f>AD5+1</f>
        <v>46084</v>
      </c>
      <c r="AF5" s="29">
        <f t="shared" si="0"/>
        <v>46085</v>
      </c>
      <c r="AG5" s="29">
        <f t="shared" si="0"/>
        <v>46086</v>
      </c>
      <c r="AH5" s="29">
        <f t="shared" si="0"/>
        <v>46087</v>
      </c>
      <c r="AI5" s="29">
        <f t="shared" si="0"/>
        <v>46088</v>
      </c>
      <c r="AJ5" s="30">
        <f t="shared" si="0"/>
        <v>46089</v>
      </c>
      <c r="AK5" s="31">
        <f>AJ5+1</f>
        <v>46090</v>
      </c>
      <c r="AL5" s="29">
        <f>AK5+1</f>
        <v>46091</v>
      </c>
      <c r="AM5" s="29">
        <f t="shared" si="0"/>
        <v>46092</v>
      </c>
      <c r="AN5" s="29">
        <f t="shared" si="0"/>
        <v>46093</v>
      </c>
      <c r="AO5" s="29">
        <f t="shared" si="0"/>
        <v>46094</v>
      </c>
      <c r="AP5" s="29">
        <f t="shared" si="0"/>
        <v>46095</v>
      </c>
      <c r="AQ5" s="30">
        <f t="shared" si="0"/>
        <v>46096</v>
      </c>
      <c r="AR5" s="31">
        <f>AQ5+1</f>
        <v>46097</v>
      </c>
      <c r="AS5" s="29">
        <f>AR5+1</f>
        <v>46098</v>
      </c>
      <c r="AT5" s="29">
        <f t="shared" si="0"/>
        <v>46099</v>
      </c>
      <c r="AU5" s="29">
        <f t="shared" si="0"/>
        <v>46100</v>
      </c>
      <c r="AV5" s="29">
        <f t="shared" si="0"/>
        <v>46101</v>
      </c>
      <c r="AW5" s="29">
        <f t="shared" si="0"/>
        <v>46102</v>
      </c>
      <c r="AX5" s="30">
        <f t="shared" si="0"/>
        <v>46103</v>
      </c>
      <c r="AY5" s="31">
        <f>AX5+1</f>
        <v>46104</v>
      </c>
      <c r="AZ5" s="29">
        <f>AY5+1</f>
        <v>46105</v>
      </c>
      <c r="BA5" s="29">
        <f t="shared" ref="BA5:BE5" si="1">AZ5+1</f>
        <v>46106</v>
      </c>
      <c r="BB5" s="29">
        <f t="shared" si="1"/>
        <v>46107</v>
      </c>
      <c r="BC5" s="29">
        <f t="shared" si="1"/>
        <v>46108</v>
      </c>
      <c r="BD5" s="29">
        <f t="shared" si="1"/>
        <v>46109</v>
      </c>
      <c r="BE5" s="30">
        <f t="shared" si="1"/>
        <v>46110</v>
      </c>
      <c r="BF5" s="31">
        <f>BE5+1</f>
        <v>46111</v>
      </c>
      <c r="BG5" s="29">
        <f>BF5+1</f>
        <v>46112</v>
      </c>
      <c r="BH5" s="29">
        <f t="shared" ref="BH5:BL5" si="2">BG5+1</f>
        <v>46113</v>
      </c>
      <c r="BI5" s="29">
        <f t="shared" si="2"/>
        <v>46114</v>
      </c>
      <c r="BJ5" s="29">
        <f t="shared" si="2"/>
        <v>46115</v>
      </c>
      <c r="BK5" s="29">
        <f t="shared" si="2"/>
        <v>46116</v>
      </c>
      <c r="BL5" s="29">
        <f t="shared" si="2"/>
        <v>46117</v>
      </c>
    </row>
    <row r="6" spans="1:64" s="24" customFormat="1" ht="15" customHeight="1" thickBot="1" x14ac:dyDescent="0.35">
      <c r="A6" s="101"/>
      <c r="B6" s="103"/>
      <c r="C6" s="105"/>
      <c r="D6" s="105"/>
      <c r="E6" s="105"/>
      <c r="F6" s="105"/>
      <c r="I6" s="32" t="str">
        <f t="shared" ref="I6:AN6" si="3">LEFT(TEXT(I5,"ddd"),1)</f>
        <v>M</v>
      </c>
      <c r="J6" s="33" t="str">
        <f t="shared" si="3"/>
        <v>T</v>
      </c>
      <c r="K6" s="33" t="str">
        <f t="shared" si="3"/>
        <v>W</v>
      </c>
      <c r="L6" s="33" t="str">
        <f t="shared" si="3"/>
        <v>T</v>
      </c>
      <c r="M6" s="33" t="str">
        <f t="shared" si="3"/>
        <v>F</v>
      </c>
      <c r="N6" s="33" t="str">
        <f t="shared" si="3"/>
        <v>S</v>
      </c>
      <c r="O6" s="33" t="str">
        <f t="shared" si="3"/>
        <v>S</v>
      </c>
      <c r="P6" s="33" t="str">
        <f t="shared" si="3"/>
        <v>M</v>
      </c>
      <c r="Q6" s="33" t="str">
        <f t="shared" si="3"/>
        <v>T</v>
      </c>
      <c r="R6" s="33" t="str">
        <f t="shared" si="3"/>
        <v>W</v>
      </c>
      <c r="S6" s="33" t="str">
        <f t="shared" si="3"/>
        <v>T</v>
      </c>
      <c r="T6" s="33" t="str">
        <f t="shared" si="3"/>
        <v>F</v>
      </c>
      <c r="U6" s="33" t="str">
        <f t="shared" si="3"/>
        <v>S</v>
      </c>
      <c r="V6" s="33" t="str">
        <f t="shared" si="3"/>
        <v>S</v>
      </c>
      <c r="W6" s="33" t="str">
        <f t="shared" si="3"/>
        <v>M</v>
      </c>
      <c r="X6" s="33" t="str">
        <f t="shared" si="3"/>
        <v>T</v>
      </c>
      <c r="Y6" s="33" t="str">
        <f t="shared" si="3"/>
        <v>W</v>
      </c>
      <c r="Z6" s="33" t="str">
        <f t="shared" si="3"/>
        <v>T</v>
      </c>
      <c r="AA6" s="33" t="str">
        <f t="shared" si="3"/>
        <v>F</v>
      </c>
      <c r="AB6" s="33" t="str">
        <f t="shared" si="3"/>
        <v>S</v>
      </c>
      <c r="AC6" s="33" t="str">
        <f t="shared" si="3"/>
        <v>S</v>
      </c>
      <c r="AD6" s="33" t="str">
        <f t="shared" si="3"/>
        <v>M</v>
      </c>
      <c r="AE6" s="33" t="str">
        <f t="shared" si="3"/>
        <v>T</v>
      </c>
      <c r="AF6" s="33" t="str">
        <f t="shared" si="3"/>
        <v>W</v>
      </c>
      <c r="AG6" s="33" t="str">
        <f t="shared" si="3"/>
        <v>T</v>
      </c>
      <c r="AH6" s="33" t="str">
        <f t="shared" si="3"/>
        <v>F</v>
      </c>
      <c r="AI6" s="33" t="str">
        <f t="shared" si="3"/>
        <v>S</v>
      </c>
      <c r="AJ6" s="33" t="str">
        <f t="shared" si="3"/>
        <v>S</v>
      </c>
      <c r="AK6" s="33" t="str">
        <f t="shared" si="3"/>
        <v>M</v>
      </c>
      <c r="AL6" s="33" t="str">
        <f t="shared" si="3"/>
        <v>T</v>
      </c>
      <c r="AM6" s="33" t="str">
        <f t="shared" si="3"/>
        <v>W</v>
      </c>
      <c r="AN6" s="33" t="str">
        <f t="shared" si="3"/>
        <v>T</v>
      </c>
      <c r="AO6" s="33" t="str">
        <f t="shared" ref="AO6:BL6" si="4">LEFT(TEXT(AO5,"ddd"),1)</f>
        <v>F</v>
      </c>
      <c r="AP6" s="33" t="str">
        <f t="shared" si="4"/>
        <v>S</v>
      </c>
      <c r="AQ6" s="33" t="str">
        <f t="shared" si="4"/>
        <v>S</v>
      </c>
      <c r="AR6" s="33" t="str">
        <f t="shared" si="4"/>
        <v>M</v>
      </c>
      <c r="AS6" s="33" t="str">
        <f t="shared" si="4"/>
        <v>T</v>
      </c>
      <c r="AT6" s="33" t="str">
        <f t="shared" si="4"/>
        <v>W</v>
      </c>
      <c r="AU6" s="33" t="str">
        <f t="shared" si="4"/>
        <v>T</v>
      </c>
      <c r="AV6" s="33" t="str">
        <f t="shared" si="4"/>
        <v>F</v>
      </c>
      <c r="AW6" s="33" t="str">
        <f t="shared" si="4"/>
        <v>S</v>
      </c>
      <c r="AX6" s="33" t="str">
        <f t="shared" si="4"/>
        <v>S</v>
      </c>
      <c r="AY6" s="33" t="str">
        <f t="shared" si="4"/>
        <v>M</v>
      </c>
      <c r="AZ6" s="33" t="str">
        <f t="shared" si="4"/>
        <v>T</v>
      </c>
      <c r="BA6" s="33" t="str">
        <f t="shared" si="4"/>
        <v>W</v>
      </c>
      <c r="BB6" s="33" t="str">
        <f t="shared" si="4"/>
        <v>T</v>
      </c>
      <c r="BC6" s="33" t="str">
        <f t="shared" si="4"/>
        <v>F</v>
      </c>
      <c r="BD6" s="33" t="str">
        <f t="shared" si="4"/>
        <v>S</v>
      </c>
      <c r="BE6" s="33" t="str">
        <f t="shared" si="4"/>
        <v>S</v>
      </c>
      <c r="BF6" s="33" t="str">
        <f t="shared" si="4"/>
        <v>M</v>
      </c>
      <c r="BG6" s="33" t="str">
        <f t="shared" si="4"/>
        <v>T</v>
      </c>
      <c r="BH6" s="33" t="str">
        <f t="shared" si="4"/>
        <v>W</v>
      </c>
      <c r="BI6" s="33" t="str">
        <f t="shared" si="4"/>
        <v>T</v>
      </c>
      <c r="BJ6" s="33" t="str">
        <f t="shared" si="4"/>
        <v>F</v>
      </c>
      <c r="BK6" s="33" t="str">
        <f t="shared" si="4"/>
        <v>S</v>
      </c>
      <c r="BL6" s="34" t="str">
        <f t="shared" si="4"/>
        <v>S</v>
      </c>
    </row>
    <row r="7" spans="1:64" s="24" customFormat="1" ht="30" hidden="1" customHeight="1" thickBot="1" x14ac:dyDescent="0.35">
      <c r="A7" s="13" t="s">
        <v>20</v>
      </c>
      <c r="B7" s="35"/>
      <c r="C7" s="36"/>
      <c r="D7" s="35"/>
      <c r="E7" s="35"/>
      <c r="F7" s="35"/>
      <c r="H7" s="24" t="str">
        <f>IF(OR(ISBLANK(task_start),ISBLANK(task_end)),"",task_end-task_start+1)</f>
        <v/>
      </c>
      <c r="I7" s="37"/>
      <c r="J7" s="37"/>
      <c r="K7" s="37"/>
      <c r="L7" s="37"/>
      <c r="M7" s="37"/>
      <c r="N7" s="37"/>
      <c r="O7" s="37"/>
      <c r="P7" s="37"/>
      <c r="Q7" s="37"/>
      <c r="R7" s="37"/>
      <c r="S7" s="37"/>
      <c r="T7" s="37"/>
      <c r="U7" s="37"/>
      <c r="V7" s="37"/>
      <c r="W7" s="37"/>
      <c r="X7" s="37"/>
      <c r="Y7" s="37"/>
      <c r="Z7" s="37"/>
      <c r="AA7" s="37"/>
      <c r="AB7" s="37"/>
      <c r="AC7" s="37"/>
      <c r="AD7" s="37"/>
      <c r="AE7" s="37"/>
      <c r="AF7" s="37"/>
      <c r="AG7" s="37"/>
      <c r="AH7" s="37"/>
      <c r="AI7" s="37"/>
      <c r="AJ7" s="37"/>
      <c r="AK7" s="37"/>
      <c r="AL7" s="37"/>
      <c r="AM7" s="37"/>
      <c r="AN7" s="37"/>
      <c r="AO7" s="37"/>
      <c r="AP7" s="37"/>
      <c r="AQ7" s="37"/>
      <c r="AR7" s="37"/>
      <c r="AS7" s="37"/>
      <c r="AT7" s="37"/>
      <c r="AU7" s="37"/>
      <c r="AV7" s="37"/>
      <c r="AW7" s="37"/>
      <c r="AX7" s="37"/>
      <c r="AY7" s="37"/>
      <c r="AZ7" s="37"/>
      <c r="BA7" s="37"/>
      <c r="BB7" s="37"/>
      <c r="BC7" s="37"/>
      <c r="BD7" s="37"/>
      <c r="BE7" s="37"/>
      <c r="BF7" s="37"/>
      <c r="BG7" s="37"/>
      <c r="BH7" s="37"/>
      <c r="BI7" s="37"/>
      <c r="BJ7" s="37"/>
      <c r="BK7" s="37"/>
      <c r="BL7" s="37"/>
    </row>
    <row r="8" spans="1:64" s="44" customFormat="1" ht="30" customHeight="1" thickBot="1" x14ac:dyDescent="0.35">
      <c r="A8" s="14"/>
      <c r="B8" s="38" t="s">
        <v>24</v>
      </c>
      <c r="C8" s="39"/>
      <c r="D8" s="40"/>
      <c r="E8" s="41"/>
      <c r="F8" s="42"/>
      <c r="G8" s="17"/>
      <c r="H8" s="5" t="str">
        <f t="shared" ref="H8:H40" si="5">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row>
    <row r="9" spans="1:64" s="44" customFormat="1" ht="30" customHeight="1" thickBot="1" x14ac:dyDescent="0.35">
      <c r="A9" s="14"/>
      <c r="B9" s="45" t="s">
        <v>25</v>
      </c>
      <c r="C9" s="46" t="s">
        <v>26</v>
      </c>
      <c r="D9" s="47">
        <v>1</v>
      </c>
      <c r="E9" s="48">
        <f>Project_Start</f>
        <v>46062</v>
      </c>
      <c r="F9" s="48">
        <f>E9+9</f>
        <v>46071</v>
      </c>
      <c r="G9" s="17"/>
      <c r="H9" s="5">
        <f t="shared" si="5"/>
        <v>10</v>
      </c>
      <c r="I9" s="49"/>
      <c r="J9" s="49"/>
      <c r="K9" s="49"/>
      <c r="L9" s="49"/>
      <c r="M9" s="49"/>
      <c r="N9" s="49"/>
      <c r="O9" s="49"/>
      <c r="P9" s="49"/>
      <c r="Q9" s="49"/>
      <c r="R9" s="49"/>
      <c r="S9" s="49"/>
      <c r="T9" s="49"/>
      <c r="U9" s="49"/>
      <c r="V9" s="49"/>
      <c r="W9" s="49"/>
      <c r="X9" s="49"/>
      <c r="Y9" s="49"/>
      <c r="Z9" s="49"/>
      <c r="AA9" s="49"/>
      <c r="AB9" s="49"/>
      <c r="AC9" s="49"/>
      <c r="AD9" s="49"/>
      <c r="AE9" s="49"/>
      <c r="AF9" s="49"/>
      <c r="AG9" s="49"/>
      <c r="AH9" s="49"/>
      <c r="AI9" s="49"/>
      <c r="AJ9" s="49"/>
      <c r="AK9" s="49"/>
      <c r="AL9" s="49"/>
      <c r="AM9" s="49"/>
      <c r="AN9" s="49"/>
      <c r="AO9" s="49"/>
      <c r="AP9" s="49"/>
      <c r="AQ9" s="49"/>
      <c r="AR9" s="49"/>
      <c r="AS9" s="49"/>
      <c r="AT9" s="49"/>
      <c r="AU9" s="49"/>
      <c r="AV9" s="49"/>
      <c r="AW9" s="49"/>
      <c r="AX9" s="49"/>
      <c r="AY9" s="49"/>
      <c r="AZ9" s="49"/>
      <c r="BA9" s="49"/>
      <c r="BB9" s="49"/>
      <c r="BC9" s="49"/>
      <c r="BD9" s="49"/>
      <c r="BE9" s="49"/>
      <c r="BF9" s="49"/>
      <c r="BG9" s="49"/>
      <c r="BH9" s="49"/>
      <c r="BI9" s="49"/>
      <c r="BJ9" s="49"/>
      <c r="BK9" s="49"/>
      <c r="BL9" s="49"/>
    </row>
    <row r="10" spans="1:64" s="44" customFormat="1" ht="30" customHeight="1" thickBot="1" x14ac:dyDescent="0.35">
      <c r="A10" s="14"/>
      <c r="B10" s="50" t="s">
        <v>27</v>
      </c>
      <c r="C10" s="51" t="s">
        <v>28</v>
      </c>
      <c r="D10" s="52">
        <v>1</v>
      </c>
      <c r="E10" s="53">
        <f>Project_Start</f>
        <v>46062</v>
      </c>
      <c r="F10" s="53">
        <f>E9+9</f>
        <v>46071</v>
      </c>
      <c r="G10" s="17"/>
      <c r="H10" s="5">
        <f t="shared" si="5"/>
        <v>10</v>
      </c>
      <c r="I10" s="49"/>
      <c r="J10" s="49"/>
      <c r="K10" s="49"/>
      <c r="L10" s="49"/>
      <c r="M10" s="49"/>
      <c r="N10" s="49"/>
      <c r="O10" s="49"/>
      <c r="P10" s="49"/>
      <c r="Q10" s="49"/>
      <c r="R10" s="49"/>
      <c r="S10" s="49"/>
      <c r="T10" s="49"/>
      <c r="U10" s="54"/>
      <c r="V10" s="54"/>
      <c r="W10" s="49"/>
      <c r="X10" s="49"/>
      <c r="Y10" s="49"/>
      <c r="Z10" s="49"/>
      <c r="AA10" s="49"/>
      <c r="AB10" s="49"/>
      <c r="AC10" s="49"/>
      <c r="AD10" s="49"/>
      <c r="AE10" s="49"/>
      <c r="AF10" s="49"/>
      <c r="AG10" s="49"/>
      <c r="AH10" s="49"/>
      <c r="AI10" s="49"/>
      <c r="AJ10" s="49"/>
      <c r="AK10" s="49"/>
      <c r="AL10" s="49"/>
      <c r="AM10" s="49"/>
      <c r="AN10" s="49"/>
      <c r="AO10" s="49"/>
      <c r="AP10" s="49"/>
      <c r="AQ10" s="49"/>
      <c r="AR10" s="49"/>
      <c r="AS10" s="49"/>
      <c r="AT10" s="49"/>
      <c r="AU10" s="49"/>
      <c r="AV10" s="49"/>
      <c r="AW10" s="49"/>
      <c r="AX10" s="49"/>
      <c r="AY10" s="49"/>
      <c r="AZ10" s="49"/>
      <c r="BA10" s="49"/>
      <c r="BB10" s="49"/>
      <c r="BC10" s="49"/>
      <c r="BD10" s="49"/>
      <c r="BE10" s="49"/>
      <c r="BF10" s="49"/>
      <c r="BG10" s="49"/>
      <c r="BH10" s="49"/>
      <c r="BI10" s="49"/>
      <c r="BJ10" s="49"/>
      <c r="BK10" s="49"/>
      <c r="BL10" s="49"/>
    </row>
    <row r="11" spans="1:64" s="44" customFormat="1" ht="30" customHeight="1" thickBot="1" x14ac:dyDescent="0.35">
      <c r="A11" s="13"/>
      <c r="B11" s="50" t="s">
        <v>29</v>
      </c>
      <c r="C11" s="51" t="s">
        <v>26</v>
      </c>
      <c r="D11" s="52">
        <v>1</v>
      </c>
      <c r="E11" s="53">
        <f>F10+1</f>
        <v>46072</v>
      </c>
      <c r="F11" s="53">
        <f>E11+27</f>
        <v>46099</v>
      </c>
      <c r="G11" s="17"/>
      <c r="H11" s="5">
        <f t="shared" si="5"/>
        <v>28</v>
      </c>
      <c r="I11" s="49"/>
      <c r="J11" s="49"/>
      <c r="K11" s="49"/>
      <c r="L11" s="49"/>
      <c r="M11" s="49"/>
      <c r="N11" s="49"/>
      <c r="O11" s="49"/>
      <c r="P11" s="49"/>
      <c r="Q11" s="49"/>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c r="AP11" s="49"/>
      <c r="AQ11" s="49"/>
      <c r="AR11" s="49"/>
      <c r="AS11" s="49"/>
      <c r="AT11" s="49"/>
      <c r="AU11" s="49"/>
      <c r="AV11" s="49"/>
      <c r="AW11" s="49"/>
      <c r="AX11" s="49"/>
      <c r="AY11" s="49"/>
      <c r="AZ11" s="49"/>
      <c r="BA11" s="49"/>
      <c r="BB11" s="49"/>
      <c r="BC11" s="49"/>
      <c r="BD11" s="49"/>
      <c r="BE11" s="49"/>
      <c r="BF11" s="49"/>
      <c r="BG11" s="49"/>
      <c r="BH11" s="49"/>
      <c r="BI11" s="49"/>
      <c r="BJ11" s="49"/>
      <c r="BK11" s="49"/>
      <c r="BL11" s="49"/>
    </row>
    <row r="12" spans="1:64" s="44" customFormat="1" ht="30" customHeight="1" thickBot="1" x14ac:dyDescent="0.35">
      <c r="A12" s="14"/>
      <c r="B12" s="55" t="s">
        <v>30</v>
      </c>
      <c r="C12" s="56"/>
      <c r="D12" s="57"/>
      <c r="E12" s="58"/>
      <c r="F12" s="59"/>
      <c r="G12" s="17"/>
      <c r="H12" s="5" t="str">
        <f t="shared" si="5"/>
        <v/>
      </c>
    </row>
    <row r="13" spans="1:64" s="44" customFormat="1" ht="30" customHeight="1" thickBot="1" x14ac:dyDescent="0.35">
      <c r="A13" s="14"/>
      <c r="B13" s="60" t="s">
        <v>34</v>
      </c>
      <c r="C13" s="61" t="s">
        <v>35</v>
      </c>
      <c r="D13" s="62">
        <v>1</v>
      </c>
      <c r="E13" s="63">
        <f>F11+1</f>
        <v>46100</v>
      </c>
      <c r="F13" s="63">
        <f>E13+8</f>
        <v>46108</v>
      </c>
      <c r="G13" s="17"/>
      <c r="H13" s="5">
        <f t="shared" si="5"/>
        <v>9</v>
      </c>
      <c r="I13" s="49"/>
      <c r="J13" s="49"/>
      <c r="K13" s="49"/>
      <c r="L13" s="49"/>
      <c r="M13" s="49"/>
      <c r="N13" s="49"/>
      <c r="O13" s="49"/>
      <c r="P13" s="49"/>
      <c r="Q13" s="49"/>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c r="AP13" s="49"/>
      <c r="AQ13" s="49"/>
      <c r="AR13" s="49"/>
      <c r="AS13" s="49"/>
      <c r="AT13" s="49"/>
      <c r="AU13" s="49"/>
      <c r="AV13" s="49"/>
      <c r="AW13" s="49"/>
      <c r="AX13" s="49"/>
      <c r="AY13" s="49"/>
      <c r="AZ13" s="49"/>
      <c r="BA13" s="49"/>
      <c r="BB13" s="49"/>
      <c r="BC13" s="49"/>
      <c r="BD13" s="49"/>
      <c r="BE13" s="49"/>
      <c r="BF13" s="49"/>
      <c r="BG13" s="49"/>
      <c r="BH13" s="49"/>
      <c r="BI13" s="49"/>
      <c r="BJ13" s="49"/>
      <c r="BK13" s="49"/>
      <c r="BL13" s="49"/>
    </row>
    <row r="14" spans="1:64" s="44" customFormat="1" ht="30" customHeight="1" thickBot="1" x14ac:dyDescent="0.35">
      <c r="A14" s="13"/>
      <c r="B14" s="60" t="s">
        <v>31</v>
      </c>
      <c r="C14" s="61" t="s">
        <v>28</v>
      </c>
      <c r="D14" s="62">
        <v>1</v>
      </c>
      <c r="E14" s="63">
        <f>E13</f>
        <v>46100</v>
      </c>
      <c r="F14" s="63">
        <f>E14+8</f>
        <v>46108</v>
      </c>
      <c r="G14" s="17"/>
      <c r="H14" s="5">
        <f t="shared" si="5"/>
        <v>9</v>
      </c>
      <c r="I14" s="49"/>
      <c r="J14" s="49"/>
      <c r="K14" s="49"/>
      <c r="L14" s="49"/>
      <c r="M14" s="49"/>
      <c r="N14" s="49"/>
      <c r="O14" s="49"/>
      <c r="P14" s="49"/>
      <c r="Q14" s="49"/>
      <c r="R14" s="49"/>
      <c r="S14" s="49"/>
      <c r="T14" s="49"/>
      <c r="U14" s="54"/>
      <c r="V14" s="54"/>
      <c r="W14" s="49"/>
      <c r="X14" s="49"/>
      <c r="Y14" s="49"/>
      <c r="Z14" s="49"/>
      <c r="AA14" s="49"/>
      <c r="AB14" s="49"/>
      <c r="AC14" s="49"/>
      <c r="AD14" s="49"/>
      <c r="AE14" s="49"/>
      <c r="AF14" s="49"/>
      <c r="AG14" s="49"/>
      <c r="AH14" s="49"/>
      <c r="AI14" s="49"/>
      <c r="AJ14" s="49"/>
      <c r="AK14" s="49"/>
      <c r="AL14" s="49"/>
      <c r="AM14" s="49"/>
      <c r="AN14" s="49"/>
      <c r="AO14" s="49"/>
      <c r="AP14" s="49"/>
      <c r="AQ14" s="49"/>
      <c r="AR14" s="49"/>
      <c r="AS14" s="49"/>
      <c r="AT14" s="49"/>
      <c r="AU14" s="49"/>
      <c r="AV14" s="49"/>
      <c r="AW14" s="49"/>
      <c r="AX14" s="49"/>
      <c r="AY14" s="49"/>
      <c r="AZ14" s="49"/>
      <c r="BA14" s="49"/>
      <c r="BB14" s="49"/>
      <c r="BC14" s="49"/>
      <c r="BD14" s="49"/>
      <c r="BE14" s="49"/>
      <c r="BF14" s="49"/>
      <c r="BG14" s="49"/>
      <c r="BH14" s="49"/>
      <c r="BI14" s="49"/>
      <c r="BJ14" s="49"/>
      <c r="BK14" s="49"/>
      <c r="BL14" s="49"/>
    </row>
    <row r="15" spans="1:64" s="44" customFormat="1" ht="30" customHeight="1" thickBot="1" x14ac:dyDescent="0.35">
      <c r="A15" s="13"/>
      <c r="B15" s="60" t="s">
        <v>32</v>
      </c>
      <c r="C15" s="61" t="s">
        <v>36</v>
      </c>
      <c r="D15" s="62">
        <v>1</v>
      </c>
      <c r="E15" s="63">
        <f>E14</f>
        <v>46100</v>
      </c>
      <c r="F15" s="63">
        <f>E15+8</f>
        <v>46108</v>
      </c>
      <c r="G15" s="17"/>
      <c r="H15" s="5">
        <f t="shared" si="5"/>
        <v>9</v>
      </c>
      <c r="I15" s="49"/>
      <c r="J15" s="49"/>
      <c r="K15" s="49"/>
      <c r="L15" s="49"/>
      <c r="M15" s="49"/>
      <c r="N15" s="49"/>
      <c r="O15" s="49"/>
      <c r="P15" s="49"/>
      <c r="Q15" s="49"/>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c r="AP15" s="49"/>
      <c r="AQ15" s="49"/>
      <c r="AR15" s="49"/>
      <c r="AS15" s="49"/>
      <c r="AT15" s="49"/>
      <c r="AU15" s="49"/>
      <c r="AV15" s="49"/>
      <c r="AW15" s="49"/>
      <c r="AX15" s="49"/>
      <c r="AY15" s="49"/>
      <c r="AZ15" s="49"/>
      <c r="BA15" s="49"/>
      <c r="BB15" s="49"/>
      <c r="BC15" s="49"/>
      <c r="BD15" s="49"/>
      <c r="BE15" s="49"/>
      <c r="BF15" s="49"/>
      <c r="BG15" s="49"/>
      <c r="BH15" s="49"/>
      <c r="BI15" s="49"/>
      <c r="BJ15" s="49"/>
      <c r="BK15" s="49"/>
      <c r="BL15" s="49"/>
    </row>
    <row r="16" spans="1:64" s="44" customFormat="1" ht="30" customHeight="1" thickBot="1" x14ac:dyDescent="0.35">
      <c r="A16" s="13"/>
      <c r="B16" s="60" t="s">
        <v>33</v>
      </c>
      <c r="C16" s="61" t="s">
        <v>37</v>
      </c>
      <c r="D16" s="62">
        <v>1</v>
      </c>
      <c r="E16" s="63">
        <f>E15</f>
        <v>46100</v>
      </c>
      <c r="F16" s="63">
        <f>E16+8</f>
        <v>46108</v>
      </c>
      <c r="G16" s="17"/>
      <c r="H16" s="5">
        <f t="shared" si="5"/>
        <v>9</v>
      </c>
      <c r="I16" s="49"/>
      <c r="J16" s="49"/>
      <c r="K16" s="49"/>
      <c r="L16" s="49"/>
      <c r="M16" s="49"/>
      <c r="N16" s="49"/>
      <c r="O16" s="49"/>
      <c r="P16" s="49"/>
      <c r="Q16" s="49"/>
      <c r="R16" s="49"/>
      <c r="S16" s="49"/>
      <c r="T16" s="49"/>
      <c r="U16" s="49"/>
      <c r="V16" s="49"/>
      <c r="W16" s="49"/>
      <c r="X16" s="49"/>
      <c r="Y16" s="54"/>
      <c r="Z16" s="49"/>
      <c r="AA16" s="49"/>
      <c r="AB16" s="49"/>
      <c r="AC16" s="49"/>
      <c r="AD16" s="49"/>
      <c r="AE16" s="49"/>
      <c r="AF16" s="49"/>
      <c r="AG16" s="49"/>
      <c r="AH16" s="49"/>
      <c r="AI16" s="49"/>
      <c r="AJ16" s="49"/>
      <c r="AK16" s="49"/>
      <c r="AL16" s="49"/>
      <c r="AM16" s="49"/>
      <c r="AN16" s="49"/>
      <c r="AO16" s="49"/>
      <c r="AP16" s="49"/>
      <c r="AQ16" s="49"/>
      <c r="AR16" s="49"/>
      <c r="AS16" s="49"/>
      <c r="AT16" s="49"/>
      <c r="AU16" s="49"/>
      <c r="AV16" s="49"/>
      <c r="AW16" s="49"/>
      <c r="AX16" s="49"/>
      <c r="AY16" s="49"/>
      <c r="AZ16" s="49"/>
      <c r="BA16" s="49"/>
      <c r="BB16" s="49"/>
      <c r="BC16" s="49"/>
      <c r="BD16" s="49"/>
      <c r="BE16" s="49"/>
      <c r="BF16" s="49"/>
      <c r="BG16" s="49"/>
      <c r="BH16" s="49"/>
      <c r="BI16" s="49"/>
      <c r="BJ16" s="49"/>
      <c r="BK16" s="49"/>
      <c r="BL16" s="49"/>
    </row>
    <row r="17" spans="1:64" s="44" customFormat="1" ht="30" customHeight="1" thickBot="1" x14ac:dyDescent="0.35">
      <c r="A17" s="13"/>
      <c r="B17" s="119" t="s">
        <v>67</v>
      </c>
      <c r="C17" s="61"/>
      <c r="D17" s="62"/>
      <c r="E17" s="63">
        <f>E13</f>
        <v>46100</v>
      </c>
      <c r="F17" s="63"/>
      <c r="G17" s="17"/>
      <c r="H17" s="5" t="str">
        <f t="shared" si="5"/>
        <v/>
      </c>
      <c r="I17" s="49"/>
      <c r="J17" s="49"/>
      <c r="K17" s="49"/>
      <c r="L17" s="49"/>
      <c r="M17" s="49"/>
      <c r="N17" s="49"/>
      <c r="O17" s="49"/>
      <c r="P17" s="49"/>
      <c r="Q17" s="49"/>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c r="AP17" s="49"/>
      <c r="AQ17" s="49"/>
      <c r="AR17" s="49"/>
      <c r="AS17" s="49"/>
      <c r="AT17" s="49"/>
      <c r="AU17" s="49"/>
      <c r="AV17" s="49"/>
      <c r="AW17" s="49"/>
      <c r="AX17" s="49"/>
      <c r="AY17" s="49"/>
      <c r="AZ17" s="49"/>
      <c r="BA17" s="49"/>
      <c r="BB17" s="49"/>
      <c r="BC17" s="49"/>
      <c r="BD17" s="49"/>
      <c r="BE17" s="49"/>
      <c r="BF17" s="49"/>
      <c r="BG17" s="49"/>
      <c r="BH17" s="49"/>
      <c r="BI17" s="49"/>
      <c r="BJ17" s="49"/>
      <c r="BK17" s="49"/>
      <c r="BL17" s="49"/>
    </row>
    <row r="18" spans="1:64" s="44" customFormat="1" ht="30" customHeight="1" thickBot="1" x14ac:dyDescent="0.35">
      <c r="A18" s="13"/>
      <c r="B18" s="64" t="s">
        <v>38</v>
      </c>
      <c r="C18" s="65"/>
      <c r="D18" s="66"/>
      <c r="E18" s="67"/>
      <c r="F18" s="68"/>
      <c r="G18" s="17"/>
      <c r="H18" s="5" t="str">
        <f t="shared" si="5"/>
        <v/>
      </c>
      <c r="I18" s="69"/>
      <c r="J18" s="69"/>
      <c r="K18" s="69"/>
      <c r="L18" s="69"/>
      <c r="M18" s="69"/>
      <c r="N18" s="69"/>
      <c r="O18" s="69"/>
      <c r="P18" s="69"/>
      <c r="Q18" s="69"/>
      <c r="R18" s="69"/>
      <c r="S18" s="69"/>
      <c r="T18" s="69"/>
      <c r="U18" s="69"/>
      <c r="V18" s="69"/>
      <c r="W18" s="69"/>
      <c r="X18" s="69"/>
      <c r="Y18" s="69"/>
      <c r="Z18" s="69"/>
      <c r="AA18" s="69"/>
      <c r="AB18" s="69"/>
      <c r="AC18" s="69"/>
      <c r="AD18" s="69"/>
      <c r="AE18" s="69"/>
      <c r="AF18" s="69"/>
      <c r="AG18" s="69"/>
      <c r="AH18" s="69"/>
      <c r="AI18" s="69"/>
      <c r="AJ18" s="69"/>
      <c r="AK18" s="69"/>
      <c r="AL18" s="69"/>
      <c r="AM18" s="69"/>
      <c r="AN18" s="69"/>
      <c r="AO18" s="69"/>
      <c r="AP18" s="69"/>
      <c r="AQ18" s="69"/>
      <c r="AR18" s="69"/>
      <c r="AS18" s="69"/>
      <c r="AT18" s="69"/>
      <c r="AU18" s="69"/>
      <c r="AV18" s="69"/>
      <c r="AW18" s="69"/>
      <c r="AX18" s="69"/>
      <c r="AY18" s="69"/>
      <c r="AZ18" s="69"/>
      <c r="BA18" s="69"/>
      <c r="BB18" s="69"/>
      <c r="BC18" s="69"/>
      <c r="BD18" s="69"/>
      <c r="BE18" s="69"/>
      <c r="BF18" s="69"/>
      <c r="BG18" s="69"/>
      <c r="BH18" s="69"/>
      <c r="BI18" s="69"/>
      <c r="BJ18" s="69"/>
      <c r="BK18" s="69"/>
      <c r="BL18" s="69"/>
    </row>
    <row r="19" spans="1:64" s="44" customFormat="1" ht="30" customHeight="1" thickBot="1" x14ac:dyDescent="0.35">
      <c r="A19" s="13"/>
      <c r="B19" s="70" t="s">
        <v>39</v>
      </c>
      <c r="C19" s="71" t="s">
        <v>28</v>
      </c>
      <c r="D19" s="72">
        <v>1</v>
      </c>
      <c r="E19" s="73">
        <f>F16+1</f>
        <v>46109</v>
      </c>
      <c r="F19" s="73">
        <f>E19+27</f>
        <v>46136</v>
      </c>
      <c r="G19" s="17"/>
      <c r="H19" s="5">
        <f t="shared" si="5"/>
        <v>28</v>
      </c>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row>
    <row r="20" spans="1:64" s="44" customFormat="1" ht="30" customHeight="1" thickBot="1" x14ac:dyDescent="0.35">
      <c r="A20" s="13"/>
      <c r="B20" s="70" t="s">
        <v>40</v>
      </c>
      <c r="C20" s="71" t="s">
        <v>45</v>
      </c>
      <c r="D20" s="72">
        <v>1</v>
      </c>
      <c r="E20" s="73">
        <f>E19</f>
        <v>46109</v>
      </c>
      <c r="F20" s="73">
        <f>E20+27</f>
        <v>46136</v>
      </c>
      <c r="G20" s="17"/>
      <c r="H20" s="5">
        <f t="shared" si="5"/>
        <v>28</v>
      </c>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c r="AP20" s="49"/>
      <c r="AQ20" s="49"/>
      <c r="AR20" s="49"/>
      <c r="AS20" s="49"/>
      <c r="AT20" s="49"/>
      <c r="AU20" s="49"/>
      <c r="AV20" s="49"/>
      <c r="AW20" s="49"/>
      <c r="AX20" s="49"/>
      <c r="AY20" s="49"/>
      <c r="AZ20" s="49"/>
      <c r="BA20" s="49"/>
      <c r="BB20" s="49"/>
      <c r="BC20" s="49"/>
      <c r="BD20" s="49"/>
      <c r="BE20" s="49"/>
      <c r="BF20" s="49"/>
      <c r="BG20" s="49"/>
      <c r="BH20" s="49"/>
      <c r="BI20" s="49"/>
      <c r="BJ20" s="49"/>
      <c r="BK20" s="49"/>
      <c r="BL20" s="49"/>
    </row>
    <row r="21" spans="1:64" s="44" customFormat="1" ht="30" customHeight="1" thickBot="1" x14ac:dyDescent="0.35">
      <c r="A21" s="13"/>
      <c r="B21" s="70" t="s">
        <v>41</v>
      </c>
      <c r="C21" s="71" t="s">
        <v>35</v>
      </c>
      <c r="D21" s="72">
        <v>1</v>
      </c>
      <c r="E21" s="73">
        <f>E20</f>
        <v>46109</v>
      </c>
      <c r="F21" s="73">
        <f>E21+55</f>
        <v>46164</v>
      </c>
      <c r="G21" s="17"/>
      <c r="H21" s="5">
        <f t="shared" si="5"/>
        <v>56</v>
      </c>
      <c r="I21" s="49"/>
      <c r="J21" s="49"/>
      <c r="K21" s="49"/>
      <c r="L21" s="49"/>
      <c r="M21" s="49"/>
      <c r="N21" s="49"/>
      <c r="O21" s="49"/>
      <c r="P21" s="49"/>
      <c r="Q21" s="49"/>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c r="AP21" s="49"/>
      <c r="AQ21" s="49"/>
      <c r="AR21" s="49"/>
      <c r="AS21" s="49"/>
      <c r="AT21" s="49"/>
      <c r="AU21" s="49"/>
      <c r="AV21" s="49"/>
      <c r="AW21" s="49"/>
      <c r="AX21" s="49"/>
      <c r="AY21" s="49"/>
      <c r="AZ21" s="49"/>
      <c r="BA21" s="49"/>
      <c r="BB21" s="49"/>
      <c r="BC21" s="49"/>
      <c r="BD21" s="49"/>
      <c r="BE21" s="49"/>
      <c r="BF21" s="49"/>
      <c r="BG21" s="49"/>
      <c r="BH21" s="49"/>
      <c r="BI21" s="49"/>
      <c r="BJ21" s="49"/>
      <c r="BK21" s="49"/>
      <c r="BL21" s="49"/>
    </row>
    <row r="22" spans="1:64" s="44" customFormat="1" ht="30" customHeight="1" thickBot="1" x14ac:dyDescent="0.35">
      <c r="A22" s="13"/>
      <c r="B22" s="70" t="s">
        <v>42</v>
      </c>
      <c r="C22" s="71" t="s">
        <v>46</v>
      </c>
      <c r="D22" s="72">
        <v>1</v>
      </c>
      <c r="E22" s="73">
        <f>E21</f>
        <v>46109</v>
      </c>
      <c r="F22" s="73">
        <f>E22+55</f>
        <v>46164</v>
      </c>
      <c r="G22" s="17"/>
      <c r="H22" s="5">
        <f t="shared" si="5"/>
        <v>56</v>
      </c>
      <c r="I22" s="49"/>
      <c r="J22" s="49"/>
      <c r="K22" s="49"/>
      <c r="L22" s="49"/>
      <c r="M22" s="49"/>
      <c r="N22" s="49"/>
      <c r="O22" s="49"/>
      <c r="P22" s="49"/>
      <c r="Q22" s="49"/>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c r="AP22" s="49"/>
      <c r="AQ22" s="49"/>
      <c r="AR22" s="49"/>
      <c r="AS22" s="49"/>
      <c r="AT22" s="49"/>
      <c r="AU22" s="49"/>
      <c r="AV22" s="49"/>
      <c r="AW22" s="49"/>
      <c r="AX22" s="49"/>
      <c r="AY22" s="49"/>
      <c r="AZ22" s="49"/>
      <c r="BA22" s="49"/>
      <c r="BB22" s="49"/>
      <c r="BC22" s="49"/>
      <c r="BD22" s="49"/>
      <c r="BE22" s="49"/>
      <c r="BF22" s="49"/>
      <c r="BG22" s="49"/>
      <c r="BH22" s="49"/>
      <c r="BI22" s="49"/>
      <c r="BJ22" s="49"/>
      <c r="BK22" s="49"/>
      <c r="BL22" s="49"/>
    </row>
    <row r="23" spans="1:64" s="44" customFormat="1" ht="30" customHeight="1" thickBot="1" x14ac:dyDescent="0.35">
      <c r="A23" s="13"/>
      <c r="B23" s="70" t="s">
        <v>43</v>
      </c>
      <c r="C23" s="71" t="s">
        <v>36</v>
      </c>
      <c r="D23" s="72">
        <v>1</v>
      </c>
      <c r="E23" s="73">
        <f>E22</f>
        <v>46109</v>
      </c>
      <c r="F23" s="73">
        <f>E23+55</f>
        <v>46164</v>
      </c>
      <c r="G23" s="17"/>
      <c r="H23" s="5"/>
      <c r="I23" s="49"/>
      <c r="J23" s="49"/>
      <c r="K23" s="49"/>
      <c r="L23" s="49"/>
      <c r="M23" s="49"/>
      <c r="N23" s="49"/>
      <c r="O23" s="49"/>
      <c r="P23" s="49"/>
      <c r="Q23" s="49"/>
      <c r="R23" s="49"/>
      <c r="S23" s="49"/>
      <c r="T23" s="49"/>
      <c r="U23" s="49"/>
      <c r="V23" s="49"/>
      <c r="W23" s="49"/>
      <c r="X23" s="49"/>
      <c r="Y23" s="49"/>
      <c r="Z23" s="49"/>
      <c r="AA23" s="49"/>
      <c r="AB23" s="49"/>
      <c r="AC23" s="49"/>
      <c r="AD23" s="49"/>
      <c r="AE23" s="49"/>
      <c r="AF23" s="49"/>
      <c r="AG23" s="49"/>
      <c r="AH23" s="49"/>
      <c r="AI23" s="49"/>
      <c r="AJ23" s="49"/>
      <c r="AK23" s="49"/>
      <c r="AL23" s="49"/>
      <c r="AM23" s="49"/>
      <c r="AN23" s="49"/>
      <c r="AO23" s="49"/>
      <c r="AP23" s="49"/>
      <c r="AQ23" s="49"/>
      <c r="AR23" s="49"/>
      <c r="AS23" s="49"/>
      <c r="AT23" s="49"/>
      <c r="AU23" s="49"/>
      <c r="AV23" s="49"/>
      <c r="AW23" s="49"/>
      <c r="AX23" s="49"/>
      <c r="AY23" s="49"/>
      <c r="AZ23" s="49"/>
      <c r="BA23" s="49"/>
      <c r="BB23" s="49"/>
      <c r="BC23" s="49"/>
      <c r="BD23" s="49"/>
      <c r="BE23" s="49"/>
      <c r="BF23" s="49"/>
      <c r="BG23" s="49"/>
      <c r="BH23" s="49"/>
      <c r="BI23" s="49"/>
      <c r="BJ23" s="49"/>
      <c r="BK23" s="49"/>
      <c r="BL23" s="49"/>
    </row>
    <row r="24" spans="1:64" s="44" customFormat="1" ht="30" customHeight="1" thickBot="1" x14ac:dyDescent="0.35">
      <c r="A24" s="13"/>
      <c r="B24" s="70" t="s">
        <v>44</v>
      </c>
      <c r="C24" s="71" t="s">
        <v>47</v>
      </c>
      <c r="D24" s="72">
        <v>0.2</v>
      </c>
      <c r="E24" s="73">
        <f>E23</f>
        <v>46109</v>
      </c>
      <c r="F24" s="73">
        <f>E24+27</f>
        <v>46136</v>
      </c>
      <c r="G24" s="17"/>
      <c r="H24" s="5">
        <f t="shared" si="5"/>
        <v>28</v>
      </c>
      <c r="I24" s="49"/>
      <c r="J24" s="49"/>
      <c r="K24" s="49"/>
      <c r="L24" s="49"/>
      <c r="M24" s="49"/>
      <c r="N24" s="49"/>
      <c r="O24" s="49"/>
      <c r="P24" s="49"/>
      <c r="Q24" s="49"/>
      <c r="R24" s="49"/>
      <c r="S24" s="49"/>
      <c r="T24" s="49"/>
      <c r="U24" s="49"/>
      <c r="V24" s="49"/>
      <c r="W24" s="49"/>
      <c r="X24" s="49"/>
      <c r="Y24" s="49"/>
      <c r="Z24" s="49"/>
      <c r="AA24" s="49"/>
      <c r="AB24" s="49"/>
      <c r="AC24" s="49"/>
      <c r="AD24" s="49"/>
      <c r="AE24" s="49"/>
      <c r="AF24" s="49"/>
      <c r="AG24" s="49"/>
      <c r="AH24" s="49"/>
      <c r="AI24" s="49"/>
      <c r="AJ24" s="49"/>
      <c r="AK24" s="49"/>
      <c r="AL24" s="49"/>
      <c r="AM24" s="49"/>
      <c r="AN24" s="49"/>
      <c r="AO24" s="49"/>
      <c r="AP24" s="49"/>
      <c r="AQ24" s="49"/>
      <c r="AR24" s="49"/>
      <c r="AS24" s="49"/>
      <c r="AT24" s="49"/>
      <c r="AU24" s="49"/>
      <c r="AV24" s="49"/>
      <c r="AW24" s="49"/>
      <c r="AX24" s="49"/>
      <c r="AY24" s="49"/>
      <c r="AZ24" s="49"/>
      <c r="BA24" s="49"/>
      <c r="BB24" s="49"/>
      <c r="BC24" s="49"/>
      <c r="BD24" s="49"/>
      <c r="BE24" s="49"/>
      <c r="BF24" s="49"/>
      <c r="BG24" s="49"/>
      <c r="BH24" s="49"/>
      <c r="BI24" s="49"/>
      <c r="BJ24" s="49"/>
      <c r="BK24" s="49"/>
      <c r="BL24" s="49"/>
    </row>
    <row r="25" spans="1:64" s="44" customFormat="1" ht="30" customHeight="1" thickBot="1" x14ac:dyDescent="0.35">
      <c r="A25" s="13"/>
      <c r="B25" s="74" t="s">
        <v>48</v>
      </c>
      <c r="C25" s="75"/>
      <c r="D25" s="76"/>
      <c r="E25" s="77"/>
      <c r="F25" s="78"/>
      <c r="G25" s="17"/>
      <c r="H25" s="5" t="str">
        <f t="shared" si="5"/>
        <v/>
      </c>
      <c r="I25" s="79"/>
      <c r="J25" s="79"/>
      <c r="K25" s="79"/>
      <c r="L25" s="79"/>
      <c r="M25" s="79"/>
      <c r="N25" s="79"/>
      <c r="O25" s="79"/>
      <c r="P25" s="79"/>
      <c r="Q25" s="79"/>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79"/>
      <c r="AX25" s="79"/>
      <c r="AY25" s="79"/>
      <c r="AZ25" s="79"/>
      <c r="BA25" s="79"/>
      <c r="BB25" s="79"/>
      <c r="BC25" s="79"/>
      <c r="BD25" s="79"/>
      <c r="BE25" s="79"/>
      <c r="BF25" s="79"/>
      <c r="BG25" s="79"/>
      <c r="BH25" s="79"/>
      <c r="BI25" s="79"/>
      <c r="BJ25" s="79"/>
      <c r="BK25" s="79"/>
      <c r="BL25" s="79"/>
    </row>
    <row r="26" spans="1:64" s="44" customFormat="1" ht="30" customHeight="1" thickBot="1" x14ac:dyDescent="0.35">
      <c r="A26" s="13"/>
      <c r="B26" s="80" t="s">
        <v>49</v>
      </c>
      <c r="C26" s="81" t="s">
        <v>26</v>
      </c>
      <c r="D26" s="82">
        <v>1</v>
      </c>
      <c r="E26" s="83">
        <f>F20+1</f>
        <v>46137</v>
      </c>
      <c r="F26" s="83">
        <f>E26+13</f>
        <v>46150</v>
      </c>
      <c r="G26" s="17"/>
      <c r="H26" s="5">
        <f t="shared" si="5"/>
        <v>14</v>
      </c>
      <c r="I26" s="49"/>
      <c r="J26" s="49"/>
      <c r="K26" s="49"/>
      <c r="L26" s="49"/>
      <c r="M26" s="49"/>
      <c r="N26" s="49"/>
      <c r="O26" s="49"/>
      <c r="P26" s="49"/>
      <c r="Q26" s="49"/>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c r="AP26" s="49"/>
      <c r="AQ26" s="49"/>
      <c r="AR26" s="49"/>
      <c r="AS26" s="49"/>
      <c r="AT26" s="49"/>
      <c r="AU26" s="49"/>
      <c r="AV26" s="49"/>
      <c r="AW26" s="49"/>
      <c r="AX26" s="49"/>
      <c r="AY26" s="49"/>
      <c r="AZ26" s="49"/>
      <c r="BA26" s="49"/>
      <c r="BB26" s="49"/>
      <c r="BC26" s="49"/>
      <c r="BD26" s="49"/>
      <c r="BE26" s="49"/>
      <c r="BF26" s="49"/>
      <c r="BG26" s="49"/>
      <c r="BH26" s="49"/>
      <c r="BI26" s="49"/>
      <c r="BJ26" s="49"/>
      <c r="BK26" s="49"/>
      <c r="BL26" s="49"/>
    </row>
    <row r="27" spans="1:64" s="44" customFormat="1" ht="30" customHeight="1" thickBot="1" x14ac:dyDescent="0.35">
      <c r="A27" s="13"/>
      <c r="B27" s="80" t="s">
        <v>50</v>
      </c>
      <c r="C27" s="81" t="s">
        <v>46</v>
      </c>
      <c r="D27" s="82">
        <v>1</v>
      </c>
      <c r="E27" s="83">
        <f>E26</f>
        <v>46137</v>
      </c>
      <c r="F27" s="83">
        <f>E27+13</f>
        <v>46150</v>
      </c>
      <c r="G27" s="17"/>
      <c r="H27" s="5">
        <f t="shared" si="5"/>
        <v>14</v>
      </c>
      <c r="I27" s="49"/>
      <c r="J27" s="49"/>
      <c r="K27" s="49"/>
      <c r="L27" s="49"/>
      <c r="M27" s="49"/>
      <c r="N27" s="49"/>
      <c r="O27" s="49"/>
      <c r="P27" s="49"/>
      <c r="Q27" s="49"/>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row>
    <row r="28" spans="1:64" s="44" customFormat="1" ht="30" customHeight="1" thickBot="1" x14ac:dyDescent="0.35">
      <c r="A28" s="13"/>
      <c r="B28" s="80" t="s">
        <v>51</v>
      </c>
      <c r="C28" s="81" t="s">
        <v>36</v>
      </c>
      <c r="D28" s="82">
        <v>1</v>
      </c>
      <c r="E28" s="83">
        <f>E27</f>
        <v>46137</v>
      </c>
      <c r="F28" s="83">
        <f>E28+13</f>
        <v>46150</v>
      </c>
      <c r="G28" s="17"/>
      <c r="H28" s="5">
        <f t="shared" si="5"/>
        <v>14</v>
      </c>
      <c r="I28" s="49"/>
      <c r="J28" s="49"/>
      <c r="K28" s="49"/>
      <c r="L28" s="49"/>
      <c r="M28" s="49"/>
      <c r="N28" s="49"/>
      <c r="O28" s="49"/>
      <c r="P28" s="49"/>
      <c r="Q28" s="49"/>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c r="AP28" s="49"/>
      <c r="AQ28" s="49"/>
      <c r="AR28" s="49"/>
      <c r="AS28" s="49"/>
      <c r="AT28" s="49"/>
      <c r="AU28" s="49"/>
      <c r="AV28" s="49"/>
      <c r="AW28" s="49"/>
      <c r="AX28" s="49"/>
      <c r="AY28" s="49"/>
      <c r="AZ28" s="49"/>
      <c r="BA28" s="49"/>
      <c r="BB28" s="49"/>
      <c r="BC28" s="49"/>
      <c r="BD28" s="49"/>
      <c r="BE28" s="49"/>
      <c r="BF28" s="49"/>
      <c r="BG28" s="49"/>
      <c r="BH28" s="49"/>
      <c r="BI28" s="49"/>
      <c r="BJ28" s="49"/>
      <c r="BK28" s="49"/>
      <c r="BL28" s="49"/>
    </row>
    <row r="29" spans="1:64" s="44" customFormat="1" ht="30" customHeight="1" thickBot="1" x14ac:dyDescent="0.35">
      <c r="A29" s="13"/>
      <c r="B29" s="80" t="s">
        <v>52</v>
      </c>
      <c r="C29" s="81" t="s">
        <v>55</v>
      </c>
      <c r="D29" s="82">
        <v>1</v>
      </c>
      <c r="E29" s="83">
        <f>E28</f>
        <v>46137</v>
      </c>
      <c r="F29" s="83">
        <f>E29+13</f>
        <v>46150</v>
      </c>
      <c r="G29" s="17"/>
      <c r="H29" s="5">
        <f t="shared" si="5"/>
        <v>14</v>
      </c>
      <c r="I29" s="49"/>
      <c r="J29" s="49"/>
      <c r="K29" s="49"/>
      <c r="L29" s="49"/>
      <c r="M29" s="49"/>
      <c r="N29" s="49"/>
      <c r="O29" s="49"/>
      <c r="P29" s="49"/>
      <c r="Q29" s="49"/>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c r="AP29" s="49"/>
      <c r="AQ29" s="49"/>
      <c r="AR29" s="49"/>
      <c r="AS29" s="49"/>
      <c r="AT29" s="49"/>
      <c r="AU29" s="49"/>
      <c r="AV29" s="49"/>
      <c r="AW29" s="49"/>
      <c r="AX29" s="49"/>
      <c r="AY29" s="49"/>
      <c r="AZ29" s="49"/>
      <c r="BA29" s="49"/>
      <c r="BB29" s="49"/>
      <c r="BC29" s="49"/>
      <c r="BD29" s="49"/>
      <c r="BE29" s="49"/>
      <c r="BF29" s="49"/>
      <c r="BG29" s="49"/>
      <c r="BH29" s="49"/>
      <c r="BI29" s="49"/>
      <c r="BJ29" s="49"/>
      <c r="BK29" s="49"/>
      <c r="BL29" s="49"/>
    </row>
    <row r="30" spans="1:64" s="44" customFormat="1" ht="30" customHeight="1" thickBot="1" x14ac:dyDescent="0.35">
      <c r="A30" s="13"/>
      <c r="B30" s="80" t="s">
        <v>53</v>
      </c>
      <c r="C30" s="81" t="s">
        <v>28</v>
      </c>
      <c r="D30" s="82">
        <v>1</v>
      </c>
      <c r="E30" s="83">
        <f>E29</f>
        <v>46137</v>
      </c>
      <c r="F30" s="83">
        <f>E30+13</f>
        <v>46150</v>
      </c>
      <c r="G30" s="17"/>
      <c r="H30" s="5">
        <f t="shared" si="5"/>
        <v>14</v>
      </c>
      <c r="I30" s="49"/>
      <c r="J30" s="49"/>
      <c r="K30" s="49"/>
      <c r="L30" s="49"/>
      <c r="M30" s="49"/>
      <c r="N30" s="49"/>
      <c r="O30" s="49"/>
      <c r="P30" s="49"/>
      <c r="Q30" s="49"/>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c r="AP30" s="49"/>
      <c r="AQ30" s="49"/>
      <c r="AR30" s="49"/>
      <c r="AS30" s="49"/>
      <c r="AT30" s="49"/>
      <c r="AU30" s="49"/>
      <c r="AV30" s="49"/>
      <c r="AW30" s="49"/>
      <c r="AX30" s="49"/>
      <c r="AY30" s="49"/>
      <c r="AZ30" s="49"/>
      <c r="BA30" s="49"/>
      <c r="BB30" s="49"/>
      <c r="BC30" s="49"/>
      <c r="BD30" s="49"/>
      <c r="BE30" s="49"/>
      <c r="BF30" s="49"/>
      <c r="BG30" s="49"/>
      <c r="BH30" s="49"/>
      <c r="BI30" s="49"/>
      <c r="BJ30" s="49"/>
      <c r="BK30" s="49"/>
      <c r="BL30" s="49"/>
    </row>
    <row r="31" spans="1:64" s="44" customFormat="1" ht="29" customHeight="1" thickBot="1" x14ac:dyDescent="0.35">
      <c r="A31" s="13"/>
      <c r="B31" s="115" t="s">
        <v>54</v>
      </c>
      <c r="C31" s="116" t="s">
        <v>47</v>
      </c>
      <c r="D31" s="117">
        <v>0.4</v>
      </c>
      <c r="E31" s="118">
        <f>E30</f>
        <v>46137</v>
      </c>
      <c r="F31" s="118">
        <f>E31+13</f>
        <v>46150</v>
      </c>
      <c r="G31" s="17"/>
      <c r="H31" s="5"/>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row>
    <row r="32" spans="1:64" s="44" customFormat="1" ht="30" customHeight="1" thickBot="1" x14ac:dyDescent="0.35">
      <c r="A32" s="13"/>
      <c r="B32" s="120" t="s">
        <v>56</v>
      </c>
      <c r="C32" s="121"/>
      <c r="D32" s="122"/>
      <c r="E32" s="123"/>
      <c r="F32" s="123"/>
      <c r="G32" s="17"/>
      <c r="H32" s="5"/>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row>
    <row r="33" spans="1:64" s="44" customFormat="1" ht="30" customHeight="1" thickBot="1" x14ac:dyDescent="0.35">
      <c r="A33" s="13"/>
      <c r="B33" s="115" t="s">
        <v>49</v>
      </c>
      <c r="C33" s="116" t="s">
        <v>64</v>
      </c>
      <c r="D33" s="117">
        <v>1</v>
      </c>
      <c r="E33" s="118">
        <f>F31+1</f>
        <v>46151</v>
      </c>
      <c r="F33" s="118">
        <f>E33+13</f>
        <v>46164</v>
      </c>
      <c r="G33" s="17"/>
      <c r="H33" s="5"/>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row>
    <row r="34" spans="1:64" s="44" customFormat="1" ht="30" customHeight="1" thickBot="1" x14ac:dyDescent="0.35">
      <c r="A34" s="13"/>
      <c r="B34" s="115" t="s">
        <v>57</v>
      </c>
      <c r="C34" s="116" t="s">
        <v>28</v>
      </c>
      <c r="D34" s="117">
        <v>1</v>
      </c>
      <c r="E34" s="118">
        <f>E33</f>
        <v>46151</v>
      </c>
      <c r="F34" s="118">
        <f>E34+13</f>
        <v>46164</v>
      </c>
      <c r="G34" s="17"/>
      <c r="H34" s="5"/>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row>
    <row r="35" spans="1:64" s="44" customFormat="1" ht="30" customHeight="1" thickBot="1" x14ac:dyDescent="0.35">
      <c r="A35" s="13"/>
      <c r="B35" s="115" t="s">
        <v>58</v>
      </c>
      <c r="C35" s="116" t="s">
        <v>36</v>
      </c>
      <c r="D35" s="117">
        <v>1</v>
      </c>
      <c r="E35" s="118">
        <f>E34</f>
        <v>46151</v>
      </c>
      <c r="F35" s="118">
        <f>E35+13</f>
        <v>46164</v>
      </c>
      <c r="G35" s="17"/>
      <c r="H35" s="5"/>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row>
    <row r="36" spans="1:64" s="44" customFormat="1" ht="30" customHeight="1" thickBot="1" x14ac:dyDescent="0.35">
      <c r="A36" s="13"/>
      <c r="B36" s="115" t="s">
        <v>59</v>
      </c>
      <c r="C36" s="116" t="s">
        <v>62</v>
      </c>
      <c r="D36" s="117">
        <v>1</v>
      </c>
      <c r="E36" s="118">
        <f>E35</f>
        <v>46151</v>
      </c>
      <c r="F36" s="118">
        <f>E36+13</f>
        <v>46164</v>
      </c>
      <c r="G36" s="17"/>
      <c r="H36" s="5"/>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row>
    <row r="37" spans="1:64" s="44" customFormat="1" ht="30" customHeight="1" thickBot="1" x14ac:dyDescent="0.35">
      <c r="A37" s="13"/>
      <c r="B37" s="115" t="s">
        <v>60</v>
      </c>
      <c r="C37" s="116" t="s">
        <v>63</v>
      </c>
      <c r="D37" s="117">
        <v>1</v>
      </c>
      <c r="E37" s="118">
        <f>E36</f>
        <v>46151</v>
      </c>
      <c r="F37" s="118">
        <f>E37+13</f>
        <v>46164</v>
      </c>
      <c r="G37" s="17"/>
      <c r="H37" s="5"/>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row>
    <row r="38" spans="1:64" s="44" customFormat="1" ht="30" customHeight="1" thickBot="1" x14ac:dyDescent="0.35">
      <c r="A38" s="13"/>
      <c r="B38" s="115" t="s">
        <v>61</v>
      </c>
      <c r="C38" s="116" t="s">
        <v>63</v>
      </c>
      <c r="D38" s="117">
        <v>0.7</v>
      </c>
      <c r="E38" s="118">
        <f>E37</f>
        <v>46151</v>
      </c>
      <c r="F38" s="118">
        <f>E38+13</f>
        <v>46164</v>
      </c>
      <c r="G38" s="17"/>
      <c r="H38" s="5"/>
      <c r="I38" s="43"/>
      <c r="J38" s="43"/>
      <c r="K38" s="43"/>
      <c r="L38" s="43"/>
      <c r="M38" s="43"/>
      <c r="N38" s="43"/>
      <c r="O38" s="43"/>
      <c r="P38" s="43"/>
      <c r="Q38" s="43"/>
      <c r="R38" s="43"/>
      <c r="S38" s="43"/>
      <c r="T38" s="43"/>
      <c r="U38" s="43"/>
      <c r="V38" s="43"/>
      <c r="W38" s="43"/>
      <c r="X38" s="43"/>
      <c r="Y38" s="43"/>
      <c r="Z38" s="43"/>
      <c r="AA38" s="43"/>
      <c r="AB38" s="43"/>
      <c r="AC38" s="43"/>
      <c r="AD38" s="43"/>
      <c r="AE38" s="43"/>
      <c r="AF38" s="43"/>
      <c r="AG38" s="43"/>
      <c r="AH38" s="43"/>
      <c r="AI38" s="43"/>
      <c r="AJ38" s="43"/>
      <c r="AK38" s="43"/>
      <c r="AL38" s="43"/>
      <c r="AM38" s="43"/>
      <c r="AN38" s="43"/>
      <c r="AO38" s="43"/>
      <c r="AP38" s="43"/>
      <c r="AQ38" s="43"/>
      <c r="AR38" s="43"/>
      <c r="AS38" s="43"/>
      <c r="AT38" s="43"/>
      <c r="AU38" s="43"/>
      <c r="AV38" s="43"/>
      <c r="AW38" s="43"/>
      <c r="AX38" s="43"/>
      <c r="AY38" s="43"/>
      <c r="AZ38" s="43"/>
      <c r="BA38" s="43"/>
      <c r="BB38" s="43"/>
      <c r="BC38" s="43"/>
      <c r="BD38" s="43"/>
      <c r="BE38" s="43"/>
      <c r="BF38" s="43"/>
      <c r="BG38" s="43"/>
      <c r="BH38" s="43"/>
      <c r="BI38" s="43"/>
      <c r="BJ38" s="43"/>
      <c r="BK38" s="43"/>
      <c r="BL38" s="43"/>
    </row>
    <row r="39" spans="1:64" s="44" customFormat="1" ht="30" customHeight="1" thickBot="1" x14ac:dyDescent="0.35">
      <c r="A39" s="13"/>
      <c r="B39" s="84"/>
      <c r="C39" s="85"/>
      <c r="D39" s="86"/>
      <c r="E39" s="87"/>
      <c r="F39" s="87"/>
      <c r="G39" s="17"/>
      <c r="H39" s="5" t="str">
        <f t="shared" si="5"/>
        <v/>
      </c>
      <c r="I39" s="43"/>
      <c r="J39" s="43"/>
      <c r="K39" s="43"/>
      <c r="L39" s="43"/>
      <c r="M39" s="43"/>
      <c r="N39" s="43"/>
      <c r="O39" s="43"/>
      <c r="P39" s="43"/>
      <c r="Q39" s="43"/>
      <c r="R39" s="43"/>
      <c r="S39" s="43"/>
      <c r="T39" s="43"/>
      <c r="U39" s="43"/>
      <c r="V39" s="43"/>
      <c r="W39" s="43"/>
      <c r="X39" s="43"/>
      <c r="Y39" s="43"/>
      <c r="Z39" s="43"/>
      <c r="AA39" s="43"/>
      <c r="AB39" s="43"/>
      <c r="AC39" s="43"/>
      <c r="AD39" s="43"/>
      <c r="AE39" s="43"/>
      <c r="AF39" s="43"/>
      <c r="AG39" s="43"/>
      <c r="AH39" s="43"/>
      <c r="AI39" s="43"/>
      <c r="AJ39" s="43"/>
      <c r="AK39" s="43"/>
      <c r="AL39" s="43"/>
      <c r="AM39" s="43"/>
      <c r="AN39" s="43"/>
      <c r="AO39" s="43"/>
      <c r="AP39" s="43"/>
      <c r="AQ39" s="43"/>
      <c r="AR39" s="43"/>
      <c r="AS39" s="43"/>
      <c r="AT39" s="43"/>
      <c r="AU39" s="43"/>
      <c r="AV39" s="43"/>
      <c r="AW39" s="43"/>
      <c r="AX39" s="43"/>
      <c r="AY39" s="43"/>
      <c r="AZ39" s="43"/>
      <c r="BA39" s="43"/>
      <c r="BB39" s="43"/>
      <c r="BC39" s="43"/>
      <c r="BD39" s="43"/>
      <c r="BE39" s="43"/>
      <c r="BF39" s="43"/>
      <c r="BG39" s="43"/>
      <c r="BH39" s="43"/>
      <c r="BI39" s="43"/>
      <c r="BJ39" s="43"/>
      <c r="BK39" s="43"/>
      <c r="BL39" s="43"/>
    </row>
    <row r="40" spans="1:64" s="44" customFormat="1" ht="30" customHeight="1" thickBot="1" x14ac:dyDescent="0.35">
      <c r="A40" s="14"/>
      <c r="B40" s="88" t="s">
        <v>0</v>
      </c>
      <c r="C40" s="89"/>
      <c r="D40" s="90"/>
      <c r="E40" s="91"/>
      <c r="F40" s="92"/>
      <c r="G40" s="17"/>
      <c r="H40" s="6" t="str">
        <f t="shared" si="5"/>
        <v/>
      </c>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93"/>
      <c r="AO40" s="93"/>
      <c r="AP40" s="93"/>
      <c r="AQ40" s="93"/>
      <c r="AR40" s="93"/>
      <c r="AS40" s="93"/>
      <c r="AT40" s="93"/>
      <c r="AU40" s="93"/>
      <c r="AV40" s="93"/>
      <c r="AW40" s="93"/>
      <c r="AX40" s="93"/>
      <c r="AY40" s="93"/>
      <c r="AZ40" s="93"/>
      <c r="BA40" s="93"/>
      <c r="BB40" s="93"/>
      <c r="BC40" s="93"/>
      <c r="BD40" s="93"/>
      <c r="BE40" s="93"/>
      <c r="BF40" s="93"/>
      <c r="BG40" s="93"/>
      <c r="BH40" s="93"/>
      <c r="BI40" s="93"/>
      <c r="BJ40" s="93"/>
      <c r="BK40" s="93"/>
      <c r="BL40" s="93"/>
    </row>
    <row r="41" spans="1:64" ht="30" customHeight="1" x14ac:dyDescent="0.3">
      <c r="G41" s="3"/>
    </row>
    <row r="42" spans="1:64" ht="30" customHeight="1" x14ac:dyDescent="0.3">
      <c r="C42" s="16"/>
      <c r="F42" s="15"/>
    </row>
    <row r="43" spans="1:64" ht="30" customHeight="1" x14ac:dyDescent="0.3">
      <c r="C43"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4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K38">
    <cfRule type="expression" dxfId="17" priority="1">
      <formula>AND(TODAY()&gt;=I$5, TODAY()&lt;J$5)</formula>
    </cfRule>
  </conditionalFormatting>
  <conditionalFormatting sqref="I9:BK11">
    <cfRule type="expression" dxfId="16" priority="6">
      <formula>AND(task_start&lt;=I$5,ROUNDDOWN((task_end-task_start+1)*task_progress,0)+task_start-1&gt;=I$5)</formula>
    </cfRule>
    <cfRule type="expression" dxfId="15" priority="7" stopIfTrue="1">
      <formula>AND(task_end&gt;=I$5,task_start&lt;J$5)</formula>
    </cfRule>
  </conditionalFormatting>
  <conditionalFormatting sqref="I13:BK17">
    <cfRule type="expression" dxfId="14" priority="4">
      <formula>AND(task_start&lt;=I$5,ROUNDDOWN((task_end-task_start+1)*task_progress,0)+task_start-1&gt;=I$5)</formula>
    </cfRule>
    <cfRule type="expression" dxfId="13" priority="5" stopIfTrue="1">
      <formula>AND(task_end&gt;=I$5,task_start&lt;J$5)</formula>
    </cfRule>
  </conditionalFormatting>
  <conditionalFormatting sqref="I19:BK24">
    <cfRule type="expression" dxfId="12" priority="2">
      <formula>AND(task_start&lt;=I$5,ROUNDDOWN((task_end-task_start+1)*task_progress,0)+task_start-1&gt;=I$5)</formula>
    </cfRule>
    <cfRule type="expression" dxfId="11" priority="3" stopIfTrue="1">
      <formula>AND(task_end&gt;=I$5,task_start&lt;J$5)</formula>
    </cfRule>
  </conditionalFormatting>
  <conditionalFormatting sqref="I26:BK38">
    <cfRule type="expression" dxfId="10" priority="36">
      <formula>AND(task_start&lt;=I$5,ROUNDDOWN((task_end-task_start+1)*task_progress,0)+task_start-1&gt;=I$5)</formula>
    </cfRule>
    <cfRule type="expression" dxfId="9" priority="37" stopIfTrue="1">
      <formula>AND(task_end&gt;=I$5,task_start&lt;J$5)</formula>
    </cfRule>
  </conditionalFormatting>
  <conditionalFormatting sqref="BL4:BL38">
    <cfRule type="expression" dxfId="8" priority="39">
      <formula>AND(TODAY()&gt;=BL$5, TODAY()&lt;BN$5)</formula>
    </cfRule>
  </conditionalFormatting>
  <conditionalFormatting sqref="BL9:BL11">
    <cfRule type="expression" dxfId="7" priority="42">
      <formula>AND(task_start&lt;=BL$5,ROUNDDOWN((task_end-task_start+1)*task_progress,0)+task_start-1&gt;=BL$5)</formula>
    </cfRule>
    <cfRule type="expression" dxfId="6" priority="43" stopIfTrue="1">
      <formula>AND(task_end&gt;=BL$5,task_start&lt;BN$5)</formula>
    </cfRule>
  </conditionalFormatting>
  <conditionalFormatting sqref="BL13:BL17">
    <cfRule type="expression" dxfId="5" priority="46">
      <formula>AND(task_start&lt;=BL$5,ROUNDDOWN((task_end-task_start+1)*task_progress,0)+task_start-1&gt;=BL$5)</formula>
    </cfRule>
    <cfRule type="expression" dxfId="4" priority="47" stopIfTrue="1">
      <formula>AND(task_end&gt;=BL$5,task_start&lt;BN$5)</formula>
    </cfRule>
  </conditionalFormatting>
  <conditionalFormatting sqref="BL19:BL24">
    <cfRule type="expression" dxfId="3" priority="50">
      <formula>AND(task_start&lt;=BL$5,ROUNDDOWN((task_end-task_start+1)*task_progress,0)+task_start-1&gt;=BL$5)</formula>
    </cfRule>
    <cfRule type="expression" dxfId="2" priority="51" stopIfTrue="1">
      <formula>AND(task_end&gt;=BL$5,task_start&lt;BN$5)</formula>
    </cfRule>
  </conditionalFormatting>
  <conditionalFormatting sqref="BL26:BL38">
    <cfRule type="expression" dxfId="1" priority="54">
      <formula>AND(task_start&lt;=BL$5,ROUNDDOWN((task_end-task_start+1)*task_progress,0)+task_start-1&gt;=BL$5)</formula>
    </cfRule>
    <cfRule type="expression" dxfId="0" priority="55" stopIfTrue="1">
      <formula>AND(task_end&gt;=BL$5,task_start&lt;BN$5)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2" xr:uid="{4F48FC41-E335-47F1-87AA-3333A52AD81C}"/>
    <dataValidation allowBlank="1" showInputMessage="1" showErrorMessage="1" prompt="Phase 3's sample block starts in cell B20." sqref="A18" xr:uid="{956902D1-D3B5-416D-BB69-9362D193BC0A}"/>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40"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5" x14ac:dyDescent="0.25"/>
  <cols>
    <col min="1" max="1" width="87" style="7" customWidth="1"/>
    <col min="2" max="16384" width="9" style="1"/>
  </cols>
  <sheetData>
    <row r="1" spans="1:2" ht="46.5" customHeight="1" x14ac:dyDescent="0.25"/>
    <row r="2" spans="1:2" s="9" customFormat="1" ht="15.5" x14ac:dyDescent="0.3">
      <c r="A2" s="94" t="s">
        <v>8</v>
      </c>
      <c r="B2" s="8"/>
    </row>
    <row r="3" spans="1:2" s="11" customFormat="1" ht="27" customHeight="1" x14ac:dyDescent="0.3">
      <c r="A3" s="95"/>
      <c r="B3" s="12"/>
    </row>
    <row r="4" spans="1:2" s="10" customFormat="1" ht="30.5" x14ac:dyDescent="0.85">
      <c r="A4" s="96" t="s">
        <v>7</v>
      </c>
    </row>
    <row r="5" spans="1:2" ht="74.25" customHeight="1" x14ac:dyDescent="0.25">
      <c r="A5" s="97" t="s">
        <v>16</v>
      </c>
    </row>
    <row r="6" spans="1:2" ht="26.25" customHeight="1" x14ac:dyDescent="0.25">
      <c r="A6" s="96" t="s">
        <v>19</v>
      </c>
    </row>
    <row r="7" spans="1:2" s="7" customFormat="1" ht="205" customHeight="1" x14ac:dyDescent="0.3">
      <c r="A7" s="98" t="s">
        <v>18</v>
      </c>
    </row>
    <row r="8" spans="1:2" s="10" customFormat="1" ht="30.5" x14ac:dyDescent="0.85">
      <c r="A8" s="96" t="s">
        <v>9</v>
      </c>
    </row>
    <row r="9" spans="1:2" ht="42" x14ac:dyDescent="0.25">
      <c r="A9" s="97" t="s">
        <v>17</v>
      </c>
    </row>
    <row r="10" spans="1:2" s="7" customFormat="1" ht="28" customHeight="1" x14ac:dyDescent="0.3">
      <c r="A10" s="99" t="s">
        <v>15</v>
      </c>
    </row>
    <row r="11" spans="1:2" s="10" customFormat="1" ht="30.5" x14ac:dyDescent="0.85">
      <c r="A11" s="96" t="s">
        <v>6</v>
      </c>
    </row>
    <row r="12" spans="1:2" ht="28" x14ac:dyDescent="0.25">
      <c r="A12" s="97" t="s">
        <v>14</v>
      </c>
    </row>
    <row r="13" spans="1:2" s="7" customFormat="1" ht="28" customHeight="1" x14ac:dyDescent="0.3">
      <c r="A13" s="99" t="s">
        <v>2</v>
      </c>
    </row>
    <row r="14" spans="1:2" s="10" customFormat="1" ht="30.5" x14ac:dyDescent="0.85">
      <c r="A14" s="96" t="s">
        <v>10</v>
      </c>
    </row>
    <row r="15" spans="1:2" ht="75" customHeight="1" x14ac:dyDescent="0.25">
      <c r="A15" s="97" t="s">
        <v>11</v>
      </c>
    </row>
    <row r="16" spans="1:2" ht="70" x14ac:dyDescent="0.25">
      <c r="A16" s="97" t="s">
        <v>12</v>
      </c>
    </row>
    <row r="17" spans="1:1" x14ac:dyDescent="0.25">
      <c r="A17" s="100"/>
    </row>
    <row r="18" spans="1:1" x14ac:dyDescent="0.25">
      <c r="A18" s="100"/>
    </row>
    <row r="19" spans="1:1" x14ac:dyDescent="0.25">
      <c r="A19" s="100"/>
    </row>
    <row r="20" spans="1:1" x14ac:dyDescent="0.25">
      <c r="A20" s="100"/>
    </row>
    <row r="21" spans="1:1" x14ac:dyDescent="0.25">
      <c r="A21" s="100"/>
    </row>
    <row r="22" spans="1:1" x14ac:dyDescent="0.25">
      <c r="A22" s="100"/>
    </row>
    <row r="23" spans="1:1" x14ac:dyDescent="0.25">
      <c r="A23" s="100"/>
    </row>
    <row r="24" spans="1:1" x14ac:dyDescent="0.25">
      <c r="A24" s="100"/>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MOTEBANG ISRAEL MOTSOKOANE</dc:creator>
  <dc:description/>
  <cp:lastModifiedBy>MOTEBANG ISRAEL MOTSOKOANE</cp:lastModifiedBy>
  <dcterms:created xsi:type="dcterms:W3CDTF">2022-03-11T22:41:12Z</dcterms:created>
  <dcterms:modified xsi:type="dcterms:W3CDTF">2026-05-20T09:20:17Z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